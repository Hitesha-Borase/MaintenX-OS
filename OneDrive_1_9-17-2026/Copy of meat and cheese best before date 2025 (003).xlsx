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S:\HACCP\THE GREAT CANADIAN MEAT\MASTER RECORDS\"/>
    </mc:Choice>
  </mc:AlternateContent>
  <xr:revisionPtr revIDLastSave="0" documentId="13_ncr:1_{1D9596C2-2BC2-42BF-A82E-8E69B2BD775D}" xr6:coauthVersionLast="47" xr6:coauthVersionMax="47" xr10:uidLastSave="{00000000-0000-0000-0000-000000000000}"/>
  <bookViews>
    <workbookView xWindow="-120" yWindow="-120" windowWidth="29040" windowHeight="15720" xr2:uid="{CA9C1E93-B41F-4F44-985E-DD054AA4F5AD}"/>
  </bookViews>
  <sheets>
    <sheet name="2025" sheetId="1" r:id="rId1"/>
    <sheet name="Julian" sheetId="2" r:id="rId2"/>
  </sheets>
  <definedNames>
    <definedName name="_xlnm.Print_Area" localSheetId="0">'2025'!$S$1:$AJ$35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3" i="1" l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F32" i="1"/>
  <c r="AF31" i="1"/>
  <c r="AF30" i="1"/>
  <c r="AF29" i="1"/>
  <c r="AF28" i="1"/>
  <c r="AF27" i="1"/>
  <c r="AF26" i="1"/>
  <c r="AF25" i="1"/>
  <c r="AF24" i="1"/>
  <c r="A328" i="2" s="1"/>
  <c r="AF23" i="1"/>
  <c r="AF22" i="1"/>
  <c r="A326" i="2" s="1"/>
  <c r="AF21" i="1"/>
  <c r="AF20" i="1"/>
  <c r="AF19" i="1"/>
  <c r="AF18" i="1"/>
  <c r="AF17" i="1"/>
  <c r="AF16" i="1"/>
  <c r="AF15" i="1"/>
  <c r="AF14" i="1"/>
  <c r="AF13" i="1"/>
  <c r="AF12" i="1"/>
  <c r="A316" i="2" s="1"/>
  <c r="AF11" i="1"/>
  <c r="AF10" i="1"/>
  <c r="AF9" i="1"/>
  <c r="AF8" i="1"/>
  <c r="AF7" i="1"/>
  <c r="AF6" i="1"/>
  <c r="AF5" i="1"/>
  <c r="AF4" i="1"/>
  <c r="AF3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T33" i="1"/>
  <c r="T32" i="1"/>
  <c r="T31" i="1"/>
  <c r="T30" i="1"/>
  <c r="T29" i="1"/>
  <c r="T28" i="1"/>
  <c r="T27" i="1"/>
  <c r="T26" i="1"/>
  <c r="A207" i="2" s="1"/>
  <c r="T25" i="1"/>
  <c r="A206" i="2" s="1"/>
  <c r="T24" i="1"/>
  <c r="A205" i="2" s="1"/>
  <c r="T23" i="1"/>
  <c r="T22" i="1"/>
  <c r="T21" i="1"/>
  <c r="T20" i="1"/>
  <c r="T19" i="1"/>
  <c r="T18" i="1"/>
  <c r="T17" i="1"/>
  <c r="T16" i="1"/>
  <c r="T15" i="1"/>
  <c r="T14" i="1"/>
  <c r="A195" i="2" s="1"/>
  <c r="T13" i="1"/>
  <c r="A194" i="2" s="1"/>
  <c r="T12" i="1"/>
  <c r="A193" i="2" s="1"/>
  <c r="T11" i="1"/>
  <c r="T10" i="1"/>
  <c r="T9" i="1"/>
  <c r="T8" i="1"/>
  <c r="T7" i="1"/>
  <c r="T6" i="1"/>
  <c r="T5" i="1"/>
  <c r="T4" i="1"/>
  <c r="T3" i="1"/>
  <c r="Q32" i="1"/>
  <c r="Q31" i="1"/>
  <c r="Q30" i="1"/>
  <c r="Q29" i="1"/>
  <c r="Q28" i="1"/>
  <c r="Q27" i="1"/>
  <c r="Q26" i="1"/>
  <c r="Q25" i="1"/>
  <c r="Q24" i="1"/>
  <c r="Q23" i="1"/>
  <c r="A174" i="2" s="1"/>
  <c r="Q22" i="1"/>
  <c r="A173" i="2" s="1"/>
  <c r="Q21" i="1"/>
  <c r="Q20" i="1"/>
  <c r="Q19" i="1"/>
  <c r="Q18" i="1"/>
  <c r="Q17" i="1"/>
  <c r="Q16" i="1"/>
  <c r="Q15" i="1"/>
  <c r="Q14" i="1"/>
  <c r="Q13" i="1"/>
  <c r="Q12" i="1"/>
  <c r="Q11" i="1"/>
  <c r="A162" i="2" s="1"/>
  <c r="Q10" i="1"/>
  <c r="A161" i="2" s="1"/>
  <c r="Q9" i="1"/>
  <c r="Q8" i="1"/>
  <c r="Q7" i="1"/>
  <c r="Q6" i="1"/>
  <c r="Q5" i="1"/>
  <c r="Q4" i="1"/>
  <c r="Q3" i="1"/>
  <c r="N33" i="1"/>
  <c r="N32" i="1"/>
  <c r="N31" i="1"/>
  <c r="N30" i="1"/>
  <c r="N29" i="1"/>
  <c r="N28" i="1"/>
  <c r="N27" i="1"/>
  <c r="N26" i="1"/>
  <c r="A146" i="2" s="1"/>
  <c r="N25" i="1"/>
  <c r="N24" i="1"/>
  <c r="N23" i="1"/>
  <c r="A143" i="2" s="1"/>
  <c r="N22" i="1"/>
  <c r="N21" i="1"/>
  <c r="N20" i="1"/>
  <c r="N19" i="1"/>
  <c r="N18" i="1"/>
  <c r="N17" i="1"/>
  <c r="N16" i="1"/>
  <c r="N15" i="1"/>
  <c r="N14" i="1"/>
  <c r="A134" i="2" s="1"/>
  <c r="N13" i="1"/>
  <c r="N12" i="1"/>
  <c r="N11" i="1"/>
  <c r="A131" i="2" s="1"/>
  <c r="N10" i="1"/>
  <c r="N9" i="1"/>
  <c r="N8" i="1"/>
  <c r="N7" i="1"/>
  <c r="N6" i="1"/>
  <c r="N5" i="1"/>
  <c r="N4" i="1"/>
  <c r="N3" i="1"/>
  <c r="K32" i="1"/>
  <c r="K31" i="1"/>
  <c r="K30" i="1"/>
  <c r="K29" i="1"/>
  <c r="K28" i="1"/>
  <c r="K27" i="1"/>
  <c r="K26" i="1"/>
  <c r="K25" i="1"/>
  <c r="K24" i="1"/>
  <c r="A114" i="2" s="1"/>
  <c r="K23" i="1"/>
  <c r="K22" i="1"/>
  <c r="A112" i="2" s="1"/>
  <c r="K21" i="1"/>
  <c r="K20" i="1"/>
  <c r="K19" i="1"/>
  <c r="K18" i="1"/>
  <c r="K17" i="1"/>
  <c r="K16" i="1"/>
  <c r="K15" i="1"/>
  <c r="K14" i="1"/>
  <c r="K13" i="1"/>
  <c r="K12" i="1"/>
  <c r="A102" i="2" s="1"/>
  <c r="K11" i="1"/>
  <c r="K10" i="1"/>
  <c r="A100" i="2" s="1"/>
  <c r="K9" i="1"/>
  <c r="K8" i="1"/>
  <c r="K7" i="1"/>
  <c r="K6" i="1"/>
  <c r="K5" i="1"/>
  <c r="K4" i="1"/>
  <c r="K3" i="1"/>
  <c r="H33" i="1"/>
  <c r="H32" i="1"/>
  <c r="H31" i="1"/>
  <c r="H30" i="1"/>
  <c r="H29" i="1"/>
  <c r="H28" i="1"/>
  <c r="H27" i="1"/>
  <c r="H26" i="1"/>
  <c r="H25" i="1"/>
  <c r="H24" i="1"/>
  <c r="A83" i="2" s="1"/>
  <c r="H23" i="1"/>
  <c r="A82" i="2" s="1"/>
  <c r="H22" i="1"/>
  <c r="A81" i="2" s="1"/>
  <c r="H21" i="1"/>
  <c r="H20" i="1"/>
  <c r="H19" i="1"/>
  <c r="H18" i="1"/>
  <c r="H17" i="1"/>
  <c r="H16" i="1"/>
  <c r="H15" i="1"/>
  <c r="H14" i="1"/>
  <c r="H13" i="1"/>
  <c r="H12" i="1"/>
  <c r="A71" i="2" s="1"/>
  <c r="H11" i="1"/>
  <c r="A70" i="2" s="1"/>
  <c r="H10" i="1"/>
  <c r="A69" i="2" s="1"/>
  <c r="H9" i="1"/>
  <c r="H8" i="1"/>
  <c r="H7" i="1"/>
  <c r="H6" i="1"/>
  <c r="H5" i="1"/>
  <c r="H4" i="1"/>
  <c r="H3" i="1"/>
  <c r="E30" i="1"/>
  <c r="E29" i="1"/>
  <c r="E28" i="1"/>
  <c r="E27" i="1"/>
  <c r="E26" i="1"/>
  <c r="A57" i="2" s="1"/>
  <c r="E25" i="1"/>
  <c r="E24" i="1"/>
  <c r="E23" i="1"/>
  <c r="E22" i="1"/>
  <c r="A53" i="2" s="1"/>
  <c r="E21" i="1"/>
  <c r="E20" i="1"/>
  <c r="E19" i="1"/>
  <c r="E18" i="1"/>
  <c r="E17" i="1"/>
  <c r="E16" i="1"/>
  <c r="E15" i="1"/>
  <c r="A46" i="2" s="1"/>
  <c r="E14" i="1"/>
  <c r="A45" i="2" s="1"/>
  <c r="E13" i="1"/>
  <c r="E12" i="1"/>
  <c r="E11" i="1"/>
  <c r="E10" i="1"/>
  <c r="A41" i="2" s="1"/>
  <c r="E9" i="1"/>
  <c r="E8" i="1"/>
  <c r="E7" i="1"/>
  <c r="E6" i="1"/>
  <c r="E5" i="1"/>
  <c r="E4" i="1"/>
  <c r="E3" i="1"/>
  <c r="A34" i="2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A25" i="2" s="1"/>
  <c r="B26" i="1"/>
  <c r="A26" i="2" s="1"/>
  <c r="B27" i="1"/>
  <c r="A27" i="2" s="1"/>
  <c r="B28" i="1"/>
  <c r="B29" i="1"/>
  <c r="B30" i="1"/>
  <c r="B31" i="1"/>
  <c r="B32" i="1"/>
  <c r="B33" i="1"/>
  <c r="B3" i="1"/>
  <c r="A43" i="2"/>
  <c r="A48" i="2"/>
  <c r="A35" i="2"/>
  <c r="B35" i="2" s="1"/>
  <c r="C35" i="2" s="1"/>
  <c r="A38" i="2"/>
  <c r="B38" i="2" s="1"/>
  <c r="C38" i="2" s="1"/>
  <c r="A317" i="2"/>
  <c r="D317" i="2" s="1"/>
  <c r="F317" i="2" s="1"/>
  <c r="A318" i="2"/>
  <c r="D318" i="2" s="1"/>
  <c r="F318" i="2" s="1"/>
  <c r="A319" i="2"/>
  <c r="D319" i="2" s="1"/>
  <c r="F319" i="2" s="1"/>
  <c r="A320" i="2"/>
  <c r="D320" i="2" s="1"/>
  <c r="F320" i="2" s="1"/>
  <c r="A321" i="2"/>
  <c r="D321" i="2" s="1"/>
  <c r="F321" i="2" s="1"/>
  <c r="A322" i="2"/>
  <c r="A323" i="2"/>
  <c r="D323" i="2" s="1"/>
  <c r="F323" i="2" s="1"/>
  <c r="A324" i="2"/>
  <c r="D324" i="2" s="1"/>
  <c r="F324" i="2" s="1"/>
  <c r="A325" i="2"/>
  <c r="D325" i="2" s="1"/>
  <c r="F325" i="2" s="1"/>
  <c r="A327" i="2"/>
  <c r="D327" i="2" s="1"/>
  <c r="F327" i="2" s="1"/>
  <c r="A329" i="2"/>
  <c r="A330" i="2"/>
  <c r="D330" i="2" s="1"/>
  <c r="F330" i="2" s="1"/>
  <c r="A331" i="2"/>
  <c r="D331" i="2" s="1"/>
  <c r="F331" i="2" s="1"/>
  <c r="A332" i="2"/>
  <c r="A333" i="2"/>
  <c r="E333" i="2" s="1"/>
  <c r="A334" i="2"/>
  <c r="D334" i="2" s="1"/>
  <c r="F334" i="2" s="1"/>
  <c r="A335" i="2"/>
  <c r="A336" i="2"/>
  <c r="A337" i="2"/>
  <c r="B337" i="2" s="1"/>
  <c r="C337" i="2" s="1"/>
  <c r="A338" i="2"/>
  <c r="B338" i="2" s="1"/>
  <c r="C338" i="2" s="1"/>
  <c r="A339" i="2"/>
  <c r="A340" i="2"/>
  <c r="D340" i="2" s="1"/>
  <c r="F340" i="2" s="1"/>
  <c r="A341" i="2"/>
  <c r="D341" i="2" s="1"/>
  <c r="F341" i="2" s="1"/>
  <c r="A342" i="2"/>
  <c r="D342" i="2" s="1"/>
  <c r="F342" i="2" s="1"/>
  <c r="A343" i="2"/>
  <c r="D343" i="2" s="1"/>
  <c r="F343" i="2" s="1"/>
  <c r="A344" i="2"/>
  <c r="D344" i="2" s="1"/>
  <c r="F344" i="2" s="1"/>
  <c r="A345" i="2"/>
  <c r="D345" i="2" s="1"/>
  <c r="F345" i="2" s="1"/>
  <c r="A346" i="2"/>
  <c r="B346" i="2" s="1"/>
  <c r="C346" i="2" s="1"/>
  <c r="A347" i="2"/>
  <c r="D347" i="2" s="1"/>
  <c r="F347" i="2" s="1"/>
  <c r="A348" i="2"/>
  <c r="D348" i="2" s="1"/>
  <c r="F348" i="2" s="1"/>
  <c r="A349" i="2"/>
  <c r="D349" i="2" s="1"/>
  <c r="F349" i="2" s="1"/>
  <c r="A350" i="2"/>
  <c r="D350" i="2" s="1"/>
  <c r="F350" i="2" s="1"/>
  <c r="A351" i="2"/>
  <c r="D351" i="2" s="1"/>
  <c r="F351" i="2" s="1"/>
  <c r="A352" i="2"/>
  <c r="A353" i="2"/>
  <c r="D353" i="2" s="1"/>
  <c r="F353" i="2" s="1"/>
  <c r="A354" i="2"/>
  <c r="D354" i="2" s="1"/>
  <c r="F354" i="2" s="1"/>
  <c r="A355" i="2"/>
  <c r="A356" i="2"/>
  <c r="D356" i="2" s="1"/>
  <c r="F356" i="2" s="1"/>
  <c r="A357" i="2"/>
  <c r="D357" i="2" s="1"/>
  <c r="F357" i="2" s="1"/>
  <c r="A358" i="2"/>
  <c r="E358" i="2" s="1"/>
  <c r="A359" i="2"/>
  <c r="D359" i="2" s="1"/>
  <c r="F359" i="2" s="1"/>
  <c r="A360" i="2"/>
  <c r="B360" i="2" s="1"/>
  <c r="C360" i="2" s="1"/>
  <c r="A361" i="2"/>
  <c r="D361" i="2" s="1"/>
  <c r="F361" i="2" s="1"/>
  <c r="A362" i="2"/>
  <c r="A363" i="2"/>
  <c r="D363" i="2" s="1"/>
  <c r="F363" i="2" s="1"/>
  <c r="A364" i="2"/>
  <c r="B364" i="2" s="1"/>
  <c r="C364" i="2" s="1"/>
  <c r="A365" i="2"/>
  <c r="A366" i="2"/>
  <c r="D366" i="2" s="1"/>
  <c r="F366" i="2" s="1"/>
  <c r="A367" i="2"/>
  <c r="D367" i="2" s="1"/>
  <c r="F367" i="2" s="1"/>
  <c r="A277" i="2"/>
  <c r="D277" i="2" s="1"/>
  <c r="F277" i="2" s="1"/>
  <c r="A278" i="2"/>
  <c r="D278" i="2" s="1"/>
  <c r="F278" i="2" s="1"/>
  <c r="A279" i="2"/>
  <c r="D279" i="2" s="1"/>
  <c r="F279" i="2" s="1"/>
  <c r="A280" i="2"/>
  <c r="D280" i="2" s="1"/>
  <c r="F280" i="2" s="1"/>
  <c r="A281" i="2"/>
  <c r="B281" i="2" s="1"/>
  <c r="C281" i="2" s="1"/>
  <c r="A282" i="2"/>
  <c r="D282" i="2" s="1"/>
  <c r="F282" i="2" s="1"/>
  <c r="A283" i="2"/>
  <c r="D283" i="2" s="1"/>
  <c r="F283" i="2" s="1"/>
  <c r="A284" i="2"/>
  <c r="D284" i="2" s="1"/>
  <c r="F284" i="2" s="1"/>
  <c r="A285" i="2"/>
  <c r="A286" i="2"/>
  <c r="D286" i="2" s="1"/>
  <c r="F286" i="2" s="1"/>
  <c r="A287" i="2"/>
  <c r="D287" i="2" s="1"/>
  <c r="F287" i="2" s="1"/>
  <c r="A288" i="2"/>
  <c r="A289" i="2"/>
  <c r="D289" i="2" s="1"/>
  <c r="F289" i="2" s="1"/>
  <c r="A290" i="2"/>
  <c r="D290" i="2" s="1"/>
  <c r="F290" i="2" s="1"/>
  <c r="A291" i="2"/>
  <c r="D291" i="2" s="1"/>
  <c r="F291" i="2" s="1"/>
  <c r="A292" i="2"/>
  <c r="A293" i="2"/>
  <c r="D293" i="2" s="1"/>
  <c r="F293" i="2" s="1"/>
  <c r="A294" i="2"/>
  <c r="D294" i="2" s="1"/>
  <c r="F294" i="2" s="1"/>
  <c r="A295" i="2"/>
  <c r="D295" i="2" s="1"/>
  <c r="F295" i="2" s="1"/>
  <c r="A296" i="2"/>
  <c r="D296" i="2" s="1"/>
  <c r="F296" i="2" s="1"/>
  <c r="A297" i="2"/>
  <c r="D297" i="2" s="1"/>
  <c r="F297" i="2" s="1"/>
  <c r="A298" i="2"/>
  <c r="A299" i="2"/>
  <c r="D299" i="2" s="1"/>
  <c r="F299" i="2" s="1"/>
  <c r="A300" i="2"/>
  <c r="D300" i="2" s="1"/>
  <c r="F300" i="2" s="1"/>
  <c r="A301" i="2"/>
  <c r="D301" i="2" s="1"/>
  <c r="F301" i="2" s="1"/>
  <c r="A302" i="2"/>
  <c r="D302" i="2" s="1"/>
  <c r="F302" i="2" s="1"/>
  <c r="A303" i="2"/>
  <c r="D303" i="2" s="1"/>
  <c r="F303" i="2" s="1"/>
  <c r="A304" i="2"/>
  <c r="B304" i="2" s="1"/>
  <c r="C304" i="2" s="1"/>
  <c r="A305" i="2"/>
  <c r="D305" i="2" s="1"/>
  <c r="F305" i="2" s="1"/>
  <c r="A306" i="2"/>
  <c r="B306" i="2" s="1"/>
  <c r="C306" i="2" s="1"/>
  <c r="A307" i="2"/>
  <c r="D307" i="2" s="1"/>
  <c r="F307" i="2" s="1"/>
  <c r="A308" i="2"/>
  <c r="D308" i="2" s="1"/>
  <c r="F308" i="2" s="1"/>
  <c r="A309" i="2"/>
  <c r="D309" i="2" s="1"/>
  <c r="F309" i="2" s="1"/>
  <c r="A310" i="2"/>
  <c r="D310" i="2" s="1"/>
  <c r="F310" i="2" s="1"/>
  <c r="A311" i="2"/>
  <c r="B311" i="2" s="1"/>
  <c r="C311" i="2" s="1"/>
  <c r="A312" i="2"/>
  <c r="D312" i="2" s="1"/>
  <c r="F312" i="2" s="1"/>
  <c r="A313" i="2"/>
  <c r="A314" i="2"/>
  <c r="D314" i="2" s="1"/>
  <c r="F314" i="2" s="1"/>
  <c r="A315" i="2"/>
  <c r="B315" i="2" s="1"/>
  <c r="C315" i="2" s="1"/>
  <c r="A37" i="2"/>
  <c r="A39" i="2"/>
  <c r="B39" i="2" s="1"/>
  <c r="C39" i="2" s="1"/>
  <c r="A40" i="2"/>
  <c r="D40" i="2" s="1"/>
  <c r="F40" i="2" s="1"/>
  <c r="A42" i="2"/>
  <c r="D42" i="2" s="1"/>
  <c r="F42" i="2" s="1"/>
  <c r="A44" i="2"/>
  <c r="D44" i="2" s="1"/>
  <c r="F44" i="2" s="1"/>
  <c r="A47" i="2"/>
  <c r="D47" i="2" s="1"/>
  <c r="F47" i="2" s="1"/>
  <c r="A49" i="2"/>
  <c r="D49" i="2" s="1"/>
  <c r="F49" i="2" s="1"/>
  <c r="A50" i="2"/>
  <c r="A51" i="2"/>
  <c r="D51" i="2" s="1"/>
  <c r="F51" i="2" s="1"/>
  <c r="A52" i="2"/>
  <c r="D52" i="2" s="1"/>
  <c r="F52" i="2" s="1"/>
  <c r="A54" i="2"/>
  <c r="A55" i="2"/>
  <c r="D55" i="2" s="1"/>
  <c r="F55" i="2" s="1"/>
  <c r="A56" i="2"/>
  <c r="B56" i="2" s="1"/>
  <c r="C56" i="2" s="1"/>
  <c r="A58" i="2"/>
  <c r="B58" i="2" s="1"/>
  <c r="C58" i="2" s="1"/>
  <c r="A59" i="2"/>
  <c r="D59" i="2" s="1"/>
  <c r="F59" i="2" s="1"/>
  <c r="A60" i="2"/>
  <c r="A61" i="2"/>
  <c r="A62" i="2"/>
  <c r="D62" i="2" s="1"/>
  <c r="F62" i="2" s="1"/>
  <c r="A63" i="2"/>
  <c r="B63" i="2" s="1"/>
  <c r="C63" i="2" s="1"/>
  <c r="A64" i="2"/>
  <c r="B64" i="2" s="1"/>
  <c r="C64" i="2" s="1"/>
  <c r="A65" i="2"/>
  <c r="D65" i="2" s="1"/>
  <c r="F65" i="2" s="1"/>
  <c r="A66" i="2"/>
  <c r="D66" i="2" s="1"/>
  <c r="F66" i="2" s="1"/>
  <c r="A67" i="2"/>
  <c r="E67" i="2" s="1"/>
  <c r="A68" i="2"/>
  <c r="E68" i="2" s="1"/>
  <c r="A72" i="2"/>
  <c r="B72" i="2" s="1"/>
  <c r="C72" i="2" s="1"/>
  <c r="A73" i="2"/>
  <c r="D73" i="2" s="1"/>
  <c r="F73" i="2" s="1"/>
  <c r="A74" i="2"/>
  <c r="A75" i="2"/>
  <c r="D75" i="2" s="1"/>
  <c r="F75" i="2" s="1"/>
  <c r="A76" i="2"/>
  <c r="B76" i="2" s="1"/>
  <c r="C76" i="2" s="1"/>
  <c r="A77" i="2"/>
  <c r="A78" i="2"/>
  <c r="D78" i="2" s="1"/>
  <c r="F78" i="2" s="1"/>
  <c r="A79" i="2"/>
  <c r="D79" i="2" s="1"/>
  <c r="F79" i="2" s="1"/>
  <c r="A80" i="2"/>
  <c r="B80" i="2" s="1"/>
  <c r="C80" i="2" s="1"/>
  <c r="A84" i="2"/>
  <c r="A85" i="2"/>
  <c r="D85" i="2" s="1"/>
  <c r="F85" i="2" s="1"/>
  <c r="A86" i="2"/>
  <c r="D86" i="2" s="1"/>
  <c r="F86" i="2" s="1"/>
  <c r="A87" i="2"/>
  <c r="A88" i="2"/>
  <c r="A89" i="2"/>
  <c r="D89" i="2" s="1"/>
  <c r="F89" i="2" s="1"/>
  <c r="A90" i="2"/>
  <c r="A91" i="2"/>
  <c r="D91" i="2" s="1"/>
  <c r="F91" i="2" s="1"/>
  <c r="A92" i="2"/>
  <c r="B92" i="2" s="1"/>
  <c r="C92" i="2" s="1"/>
  <c r="A93" i="2"/>
  <c r="D93" i="2" s="1"/>
  <c r="F93" i="2" s="1"/>
  <c r="A94" i="2"/>
  <c r="A95" i="2"/>
  <c r="B95" i="2" s="1"/>
  <c r="C95" i="2" s="1"/>
  <c r="A96" i="2"/>
  <c r="D96" i="2" s="1"/>
  <c r="F96" i="2" s="1"/>
  <c r="A97" i="2"/>
  <c r="D97" i="2" s="1"/>
  <c r="F97" i="2" s="1"/>
  <c r="A98" i="2"/>
  <c r="A99" i="2"/>
  <c r="D99" i="2" s="1"/>
  <c r="F99" i="2" s="1"/>
  <c r="A101" i="2"/>
  <c r="D101" i="2" s="1"/>
  <c r="F101" i="2" s="1"/>
  <c r="A103" i="2"/>
  <c r="B103" i="2" s="1"/>
  <c r="C103" i="2" s="1"/>
  <c r="A104" i="2"/>
  <c r="A105" i="2"/>
  <c r="A106" i="2"/>
  <c r="D106" i="2" s="1"/>
  <c r="F106" i="2" s="1"/>
  <c r="A107" i="2"/>
  <c r="A108" i="2"/>
  <c r="A109" i="2"/>
  <c r="D109" i="2" s="1"/>
  <c r="F109" i="2" s="1"/>
  <c r="A110" i="2"/>
  <c r="D110" i="2" s="1"/>
  <c r="F110" i="2" s="1"/>
  <c r="A111" i="2"/>
  <c r="D111" i="2" s="1"/>
  <c r="F111" i="2" s="1"/>
  <c r="A113" i="2"/>
  <c r="D113" i="2" s="1"/>
  <c r="F113" i="2" s="1"/>
  <c r="A115" i="2"/>
  <c r="B115" i="2" s="1"/>
  <c r="C115" i="2" s="1"/>
  <c r="A116" i="2"/>
  <c r="B116" i="2" s="1"/>
  <c r="C116" i="2" s="1"/>
  <c r="A117" i="2"/>
  <c r="D117" i="2" s="1"/>
  <c r="F117" i="2" s="1"/>
  <c r="A118" i="2"/>
  <c r="B118" i="2" s="1"/>
  <c r="C118" i="2" s="1"/>
  <c r="A119" i="2"/>
  <c r="D119" i="2" s="1"/>
  <c r="F119" i="2" s="1"/>
  <c r="A120" i="2"/>
  <c r="D120" i="2" s="1"/>
  <c r="F120" i="2" s="1"/>
  <c r="A121" i="2"/>
  <c r="A122" i="2"/>
  <c r="D122" i="2" s="1"/>
  <c r="F122" i="2" s="1"/>
  <c r="A123" i="2"/>
  <c r="D123" i="2" s="1"/>
  <c r="F123" i="2" s="1"/>
  <c r="A124" i="2"/>
  <c r="A125" i="2"/>
  <c r="B125" i="2" s="1"/>
  <c r="C125" i="2" s="1"/>
  <c r="A126" i="2"/>
  <c r="B126" i="2" s="1"/>
  <c r="C126" i="2" s="1"/>
  <c r="A127" i="2"/>
  <c r="E127" i="2" s="1"/>
  <c r="A128" i="2"/>
  <c r="B128" i="2" s="1"/>
  <c r="C128" i="2" s="1"/>
  <c r="A129" i="2"/>
  <c r="A130" i="2"/>
  <c r="A132" i="2"/>
  <c r="A133" i="2"/>
  <c r="D133" i="2" s="1"/>
  <c r="F133" i="2" s="1"/>
  <c r="A135" i="2"/>
  <c r="B135" i="2" s="1"/>
  <c r="C135" i="2" s="1"/>
  <c r="A136" i="2"/>
  <c r="A137" i="2"/>
  <c r="E137" i="2" s="1"/>
  <c r="A138" i="2"/>
  <c r="B138" i="2" s="1"/>
  <c r="C138" i="2" s="1"/>
  <c r="A139" i="2"/>
  <c r="A140" i="2"/>
  <c r="A141" i="2"/>
  <c r="D141" i="2" s="1"/>
  <c r="F141" i="2" s="1"/>
  <c r="A142" i="2"/>
  <c r="A144" i="2"/>
  <c r="D144" i="2" s="1"/>
  <c r="F144" i="2" s="1"/>
  <c r="A145" i="2"/>
  <c r="D145" i="2" s="1"/>
  <c r="F145" i="2" s="1"/>
  <c r="A147" i="2"/>
  <c r="E147" i="2" s="1"/>
  <c r="A148" i="2"/>
  <c r="D148" i="2" s="1"/>
  <c r="F148" i="2" s="1"/>
  <c r="A149" i="2"/>
  <c r="A150" i="2"/>
  <c r="D150" i="2" s="1"/>
  <c r="F150" i="2" s="1"/>
  <c r="A151" i="2"/>
  <c r="D151" i="2" s="1"/>
  <c r="F151" i="2" s="1"/>
  <c r="A152" i="2"/>
  <c r="A153" i="2"/>
  <c r="A154" i="2"/>
  <c r="B154" i="2" s="1"/>
  <c r="C154" i="2" s="1"/>
  <c r="A155" i="2"/>
  <c r="A156" i="2"/>
  <c r="D156" i="2" s="1"/>
  <c r="F156" i="2" s="1"/>
  <c r="A157" i="2"/>
  <c r="D157" i="2" s="1"/>
  <c r="F157" i="2" s="1"/>
  <c r="A158" i="2"/>
  <c r="D158" i="2" s="1"/>
  <c r="F158" i="2" s="1"/>
  <c r="A159" i="2"/>
  <c r="A160" i="2"/>
  <c r="D160" i="2" s="1"/>
  <c r="F160" i="2" s="1"/>
  <c r="A163" i="2"/>
  <c r="D163" i="2" s="1"/>
  <c r="F163" i="2" s="1"/>
  <c r="A164" i="2"/>
  <c r="D164" i="2" s="1"/>
  <c r="F164" i="2" s="1"/>
  <c r="A165" i="2"/>
  <c r="A166" i="2"/>
  <c r="D166" i="2" s="1"/>
  <c r="F166" i="2" s="1"/>
  <c r="A167" i="2"/>
  <c r="B167" i="2" s="1"/>
  <c r="C167" i="2" s="1"/>
  <c r="A168" i="2"/>
  <c r="A169" i="2"/>
  <c r="A170" i="2"/>
  <c r="D170" i="2" s="1"/>
  <c r="F170" i="2" s="1"/>
  <c r="A171" i="2"/>
  <c r="D171" i="2" s="1"/>
  <c r="F171" i="2" s="1"/>
  <c r="A172" i="2"/>
  <c r="A175" i="2"/>
  <c r="A176" i="2"/>
  <c r="D176" i="2" s="1"/>
  <c r="F176" i="2" s="1"/>
  <c r="A177" i="2"/>
  <c r="D177" i="2" s="1"/>
  <c r="F177" i="2" s="1"/>
  <c r="A178" i="2"/>
  <c r="A179" i="2"/>
  <c r="D179" i="2" s="1"/>
  <c r="F179" i="2" s="1"/>
  <c r="A180" i="2"/>
  <c r="D180" i="2" s="1"/>
  <c r="F180" i="2" s="1"/>
  <c r="A181" i="2"/>
  <c r="D181" i="2" s="1"/>
  <c r="F181" i="2" s="1"/>
  <c r="A182" i="2"/>
  <c r="A183" i="2"/>
  <c r="D183" i="2" s="1"/>
  <c r="F183" i="2" s="1"/>
  <c r="A184" i="2"/>
  <c r="B184" i="2" s="1"/>
  <c r="C184" i="2" s="1"/>
  <c r="A185" i="2"/>
  <c r="A186" i="2"/>
  <c r="D186" i="2" s="1"/>
  <c r="F186" i="2" s="1"/>
  <c r="A187" i="2"/>
  <c r="D187" i="2" s="1"/>
  <c r="F187" i="2" s="1"/>
  <c r="A188" i="2"/>
  <c r="A189" i="2"/>
  <c r="E189" i="2" s="1"/>
  <c r="A190" i="2"/>
  <c r="B190" i="2" s="1"/>
  <c r="C190" i="2" s="1"/>
  <c r="A191" i="2"/>
  <c r="B191" i="2" s="1"/>
  <c r="C191" i="2" s="1"/>
  <c r="A192" i="2"/>
  <c r="B192" i="2" s="1"/>
  <c r="C192" i="2" s="1"/>
  <c r="A196" i="2"/>
  <c r="D196" i="2" s="1"/>
  <c r="F196" i="2" s="1"/>
  <c r="A197" i="2"/>
  <c r="D197" i="2" s="1"/>
  <c r="F197" i="2" s="1"/>
  <c r="A198" i="2"/>
  <c r="B198" i="2" s="1"/>
  <c r="C198" i="2" s="1"/>
  <c r="A199" i="2"/>
  <c r="D199" i="2" s="1"/>
  <c r="F199" i="2" s="1"/>
  <c r="A200" i="2"/>
  <c r="D200" i="2" s="1"/>
  <c r="F200" i="2" s="1"/>
  <c r="A201" i="2"/>
  <c r="A202" i="2"/>
  <c r="D202" i="2" s="1"/>
  <c r="F202" i="2" s="1"/>
  <c r="A203" i="2"/>
  <c r="D203" i="2" s="1"/>
  <c r="F203" i="2" s="1"/>
  <c r="A204" i="2"/>
  <c r="A208" i="2"/>
  <c r="A209" i="2"/>
  <c r="D209" i="2" s="1"/>
  <c r="F209" i="2" s="1"/>
  <c r="A210" i="2"/>
  <c r="A211" i="2"/>
  <c r="A212" i="2"/>
  <c r="D212" i="2" s="1"/>
  <c r="F212" i="2" s="1"/>
  <c r="A213" i="2"/>
  <c r="D213" i="2" s="1"/>
  <c r="F213" i="2" s="1"/>
  <c r="A214" i="2"/>
  <c r="A215" i="2"/>
  <c r="D215" i="2" s="1"/>
  <c r="F215" i="2" s="1"/>
  <c r="A216" i="2"/>
  <c r="D216" i="2" s="1"/>
  <c r="F216" i="2" s="1"/>
  <c r="A217" i="2"/>
  <c r="D217" i="2" s="1"/>
  <c r="F217" i="2" s="1"/>
  <c r="A218" i="2"/>
  <c r="A219" i="2"/>
  <c r="D219" i="2" s="1"/>
  <c r="F219" i="2" s="1"/>
  <c r="A220" i="2"/>
  <c r="D220" i="2" s="1"/>
  <c r="F220" i="2" s="1"/>
  <c r="A221" i="2"/>
  <c r="A222" i="2"/>
  <c r="D222" i="2" s="1"/>
  <c r="F222" i="2" s="1"/>
  <c r="A223" i="2"/>
  <c r="D223" i="2" s="1"/>
  <c r="F223" i="2" s="1"/>
  <c r="A224" i="2"/>
  <c r="D224" i="2" s="1"/>
  <c r="F224" i="2" s="1"/>
  <c r="A225" i="2"/>
  <c r="D225" i="2" s="1"/>
  <c r="F225" i="2" s="1"/>
  <c r="A226" i="2"/>
  <c r="D226" i="2" s="1"/>
  <c r="F226" i="2" s="1"/>
  <c r="A227" i="2"/>
  <c r="D227" i="2" s="1"/>
  <c r="F227" i="2" s="1"/>
  <c r="A228" i="2"/>
  <c r="D228" i="2" s="1"/>
  <c r="F228" i="2" s="1"/>
  <c r="A229" i="2"/>
  <c r="D229" i="2" s="1"/>
  <c r="F229" i="2" s="1"/>
  <c r="A230" i="2"/>
  <c r="D230" i="2" s="1"/>
  <c r="F230" i="2" s="1"/>
  <c r="A231" i="2"/>
  <c r="A232" i="2"/>
  <c r="D232" i="2" s="1"/>
  <c r="F232" i="2" s="1"/>
  <c r="A233" i="2"/>
  <c r="D233" i="2" s="1"/>
  <c r="F233" i="2" s="1"/>
  <c r="A234" i="2"/>
  <c r="E234" i="2" s="1"/>
  <c r="A235" i="2"/>
  <c r="D235" i="2" s="1"/>
  <c r="F235" i="2" s="1"/>
  <c r="A236" i="2"/>
  <c r="D236" i="2" s="1"/>
  <c r="F236" i="2" s="1"/>
  <c r="A237" i="2"/>
  <c r="D237" i="2" s="1"/>
  <c r="F237" i="2" s="1"/>
  <c r="A238" i="2"/>
  <c r="D238" i="2" s="1"/>
  <c r="F238" i="2" s="1"/>
  <c r="A239" i="2"/>
  <c r="B239" i="2" s="1"/>
  <c r="C239" i="2" s="1"/>
  <c r="A240" i="2"/>
  <c r="B240" i="2" s="1"/>
  <c r="C240" i="2" s="1"/>
  <c r="A241" i="2"/>
  <c r="A242" i="2"/>
  <c r="D242" i="2" s="1"/>
  <c r="F242" i="2" s="1"/>
  <c r="A243" i="2"/>
  <c r="B243" i="2" s="1"/>
  <c r="C243" i="2" s="1"/>
  <c r="A244" i="2"/>
  <c r="D244" i="2" s="1"/>
  <c r="F244" i="2" s="1"/>
  <c r="A245" i="2"/>
  <c r="D245" i="2" s="1"/>
  <c r="F245" i="2" s="1"/>
  <c r="A246" i="2"/>
  <c r="D246" i="2" s="1"/>
  <c r="F246" i="2" s="1"/>
  <c r="A247" i="2"/>
  <c r="D247" i="2" s="1"/>
  <c r="F247" i="2" s="1"/>
  <c r="A248" i="2"/>
  <c r="D248" i="2" s="1"/>
  <c r="F248" i="2" s="1"/>
  <c r="A249" i="2"/>
  <c r="D249" i="2" s="1"/>
  <c r="F249" i="2" s="1"/>
  <c r="A250" i="2"/>
  <c r="D250" i="2" s="1"/>
  <c r="F250" i="2" s="1"/>
  <c r="A251" i="2"/>
  <c r="B251" i="2" s="1"/>
  <c r="C251" i="2" s="1"/>
  <c r="A252" i="2"/>
  <c r="D252" i="2" s="1"/>
  <c r="F252" i="2" s="1"/>
  <c r="A253" i="2"/>
  <c r="B253" i="2" s="1"/>
  <c r="C253" i="2" s="1"/>
  <c r="A254" i="2"/>
  <c r="D254" i="2" s="1"/>
  <c r="F254" i="2" s="1"/>
  <c r="A255" i="2"/>
  <c r="D255" i="2" s="1"/>
  <c r="F255" i="2" s="1"/>
  <c r="A256" i="2"/>
  <c r="A257" i="2"/>
  <c r="D257" i="2" s="1"/>
  <c r="F257" i="2" s="1"/>
  <c r="A258" i="2"/>
  <c r="D258" i="2" s="1"/>
  <c r="F258" i="2" s="1"/>
  <c r="A259" i="2"/>
  <c r="A260" i="2"/>
  <c r="D260" i="2" s="1"/>
  <c r="F260" i="2" s="1"/>
  <c r="A261" i="2"/>
  <c r="D261" i="2" s="1"/>
  <c r="F261" i="2" s="1"/>
  <c r="A262" i="2"/>
  <c r="A263" i="2"/>
  <c r="D263" i="2" s="1"/>
  <c r="F263" i="2" s="1"/>
  <c r="A264" i="2"/>
  <c r="D264" i="2" s="1"/>
  <c r="F264" i="2" s="1"/>
  <c r="A265" i="2"/>
  <c r="D265" i="2" s="1"/>
  <c r="F265" i="2" s="1"/>
  <c r="A266" i="2"/>
  <c r="A267" i="2"/>
  <c r="D267" i="2" s="1"/>
  <c r="F267" i="2" s="1"/>
  <c r="A268" i="2"/>
  <c r="D268" i="2" s="1"/>
  <c r="F268" i="2" s="1"/>
  <c r="A269" i="2"/>
  <c r="A270" i="2"/>
  <c r="D270" i="2" s="1"/>
  <c r="F270" i="2" s="1"/>
  <c r="A271" i="2"/>
  <c r="B271" i="2" s="1"/>
  <c r="C271" i="2" s="1"/>
  <c r="A272" i="2"/>
  <c r="A273" i="2"/>
  <c r="D273" i="2" s="1"/>
  <c r="F273" i="2" s="1"/>
  <c r="A274" i="2"/>
  <c r="D274" i="2" s="1"/>
  <c r="F274" i="2" s="1"/>
  <c r="A275" i="2"/>
  <c r="A276" i="2"/>
  <c r="D276" i="2" s="1"/>
  <c r="F276" i="2" s="1"/>
  <c r="A36" i="2"/>
  <c r="D36" i="2" s="1"/>
  <c r="F36" i="2" s="1"/>
  <c r="A29" i="2"/>
  <c r="A31" i="2"/>
  <c r="B31" i="2" s="1"/>
  <c r="C31" i="2" s="1"/>
  <c r="A13" i="2"/>
  <c r="E13" i="2" s="1"/>
  <c r="A3" i="2"/>
  <c r="B3" i="2" s="1"/>
  <c r="C3" i="2" s="1"/>
  <c r="A32" i="2"/>
  <c r="A33" i="2"/>
  <c r="D33" i="2" s="1"/>
  <c r="F33" i="2" s="1"/>
  <c r="A7" i="2"/>
  <c r="D7" i="2" s="1"/>
  <c r="F7" i="2" s="1"/>
  <c r="A8" i="2"/>
  <c r="A9" i="2"/>
  <c r="D9" i="2" s="1"/>
  <c r="F9" i="2" s="1"/>
  <c r="A10" i="2"/>
  <c r="D10" i="2" s="1"/>
  <c r="F10" i="2" s="1"/>
  <c r="A11" i="2"/>
  <c r="D11" i="2" s="1"/>
  <c r="F11" i="2" s="1"/>
  <c r="A12" i="2"/>
  <c r="A14" i="2"/>
  <c r="D14" i="2" s="1"/>
  <c r="F14" i="2" s="1"/>
  <c r="A15" i="2"/>
  <c r="E15" i="2" s="1"/>
  <c r="A16" i="2"/>
  <c r="A17" i="2"/>
  <c r="A18" i="2"/>
  <c r="E18" i="2" s="1"/>
  <c r="A19" i="2"/>
  <c r="A20" i="2"/>
  <c r="B20" i="2" s="1"/>
  <c r="C20" i="2" s="1"/>
  <c r="A21" i="2"/>
  <c r="D21" i="2" s="1"/>
  <c r="F21" i="2" s="1"/>
  <c r="A22" i="2"/>
  <c r="A23" i="2"/>
  <c r="D23" i="2" s="1"/>
  <c r="F23" i="2" s="1"/>
  <c r="A24" i="2"/>
  <c r="D24" i="2" s="1"/>
  <c r="F24" i="2" s="1"/>
  <c r="A28" i="2"/>
  <c r="D28" i="2" s="1"/>
  <c r="F28" i="2" s="1"/>
  <c r="A30" i="2"/>
  <c r="D30" i="2" s="1"/>
  <c r="F30" i="2" s="1"/>
  <c r="A4" i="2"/>
  <c r="A5" i="2"/>
  <c r="A6" i="2"/>
  <c r="E6" i="2" l="1"/>
  <c r="D6" i="2"/>
  <c r="F6" i="2" s="1"/>
  <c r="D22" i="2"/>
  <c r="F22" i="2" s="1"/>
  <c r="E22" i="2"/>
  <c r="E19" i="2"/>
  <c r="D19" i="2"/>
  <c r="F19" i="2" s="1"/>
  <c r="E17" i="2"/>
  <c r="D17" i="2"/>
  <c r="F17" i="2" s="1"/>
  <c r="E16" i="2"/>
  <c r="D16" i="2"/>
  <c r="F16" i="2" s="1"/>
  <c r="B12" i="2"/>
  <c r="C12" i="2" s="1"/>
  <c r="D12" i="2"/>
  <c r="F12" i="2" s="1"/>
  <c r="E12" i="2"/>
  <c r="B8" i="2"/>
  <c r="C8" i="2" s="1"/>
  <c r="D8" i="2"/>
  <c r="F8" i="2" s="1"/>
  <c r="E8" i="2"/>
  <c r="D32" i="2"/>
  <c r="F32" i="2" s="1"/>
  <c r="E32" i="2"/>
  <c r="E29" i="2"/>
  <c r="D29" i="2"/>
  <c r="F29" i="2" s="1"/>
  <c r="B275" i="2"/>
  <c r="C275" i="2" s="1"/>
  <c r="E275" i="2"/>
  <c r="D272" i="2"/>
  <c r="F272" i="2" s="1"/>
  <c r="E272" i="2"/>
  <c r="E269" i="2"/>
  <c r="D269" i="2"/>
  <c r="F269" i="2" s="1"/>
  <c r="E266" i="2"/>
  <c r="D266" i="2"/>
  <c r="F266" i="2" s="1"/>
  <c r="D262" i="2"/>
  <c r="F262" i="2" s="1"/>
  <c r="E262" i="2"/>
  <c r="E259" i="2"/>
  <c r="D259" i="2"/>
  <c r="F259" i="2" s="1"/>
  <c r="B256" i="2"/>
  <c r="C256" i="2" s="1"/>
  <c r="E256" i="2"/>
  <c r="B241" i="2"/>
  <c r="C241" i="2" s="1"/>
  <c r="D241" i="2"/>
  <c r="F241" i="2" s="1"/>
  <c r="D231" i="2"/>
  <c r="F231" i="2" s="1"/>
  <c r="E231" i="2"/>
  <c r="D221" i="2"/>
  <c r="F221" i="2" s="1"/>
  <c r="E221" i="2"/>
  <c r="D218" i="2"/>
  <c r="F218" i="2" s="1"/>
  <c r="E218" i="2"/>
  <c r="D214" i="2"/>
  <c r="F214" i="2" s="1"/>
  <c r="E214" i="2"/>
  <c r="E211" i="2"/>
  <c r="D211" i="2"/>
  <c r="F211" i="2" s="1"/>
  <c r="D210" i="2"/>
  <c r="F210" i="2" s="1"/>
  <c r="E210" i="2"/>
  <c r="B208" i="2"/>
  <c r="C208" i="2" s="1"/>
  <c r="D208" i="2"/>
  <c r="F208" i="2" s="1"/>
  <c r="E208" i="2"/>
  <c r="D204" i="2"/>
  <c r="F204" i="2" s="1"/>
  <c r="E204" i="2"/>
  <c r="D201" i="2"/>
  <c r="F201" i="2" s="1"/>
  <c r="E201" i="2"/>
  <c r="B188" i="2"/>
  <c r="C188" i="2" s="1"/>
  <c r="D188" i="2"/>
  <c r="F188" i="2" s="1"/>
  <c r="E188" i="2"/>
  <c r="E185" i="2"/>
  <c r="D185" i="2"/>
  <c r="F185" i="2" s="1"/>
  <c r="D182" i="2"/>
  <c r="F182" i="2" s="1"/>
  <c r="E182" i="2"/>
  <c r="B178" i="2"/>
  <c r="C178" i="2" s="1"/>
  <c r="D178" i="2"/>
  <c r="F178" i="2" s="1"/>
  <c r="E178" i="2"/>
  <c r="D175" i="2"/>
  <c r="F175" i="2" s="1"/>
  <c r="E175" i="2"/>
  <c r="D172" i="2"/>
  <c r="F172" i="2" s="1"/>
  <c r="E172" i="2"/>
  <c r="E169" i="2"/>
  <c r="D169" i="2"/>
  <c r="F169" i="2" s="1"/>
  <c r="D168" i="2"/>
  <c r="F168" i="2" s="1"/>
  <c r="E168" i="2"/>
  <c r="D165" i="2"/>
  <c r="F165" i="2" s="1"/>
  <c r="E165" i="2"/>
  <c r="D159" i="2"/>
  <c r="F159" i="2" s="1"/>
  <c r="E159" i="2"/>
  <c r="D155" i="2"/>
  <c r="F155" i="2" s="1"/>
  <c r="E155" i="2"/>
  <c r="D153" i="2"/>
  <c r="F153" i="2" s="1"/>
  <c r="E153" i="2"/>
  <c r="D152" i="2"/>
  <c r="F152" i="2" s="1"/>
  <c r="E152" i="2"/>
  <c r="B149" i="2"/>
  <c r="C149" i="2" s="1"/>
  <c r="D149" i="2"/>
  <c r="F149" i="2" s="1"/>
  <c r="B142" i="2"/>
  <c r="C142" i="2" s="1"/>
  <c r="D142" i="2"/>
  <c r="F142" i="2" s="1"/>
  <c r="E142" i="2"/>
  <c r="E140" i="2"/>
  <c r="D140" i="2"/>
  <c r="F140" i="2" s="1"/>
  <c r="E139" i="2"/>
  <c r="D139" i="2"/>
  <c r="F139" i="2" s="1"/>
  <c r="B136" i="2"/>
  <c r="C136" i="2" s="1"/>
  <c r="D136" i="2"/>
  <c r="F136" i="2" s="1"/>
  <c r="E136" i="2"/>
  <c r="G136" i="2" s="1"/>
  <c r="B132" i="2"/>
  <c r="C132" i="2" s="1"/>
  <c r="E132" i="2"/>
  <c r="B130" i="2"/>
  <c r="C130" i="2" s="1"/>
  <c r="D130" i="2"/>
  <c r="F130" i="2" s="1"/>
  <c r="B129" i="2"/>
  <c r="C129" i="2" s="1"/>
  <c r="E129" i="2"/>
  <c r="B124" i="2"/>
  <c r="C124" i="2" s="1"/>
  <c r="D124" i="2"/>
  <c r="F124" i="2" s="1"/>
  <c r="D121" i="2"/>
  <c r="F121" i="2" s="1"/>
  <c r="E121" i="2"/>
  <c r="E108" i="2"/>
  <c r="D108" i="2"/>
  <c r="F108" i="2" s="1"/>
  <c r="D107" i="2"/>
  <c r="F107" i="2" s="1"/>
  <c r="E107" i="2"/>
  <c r="E105" i="2"/>
  <c r="D105" i="2"/>
  <c r="F105" i="2" s="1"/>
  <c r="D104" i="2"/>
  <c r="F104" i="2" s="1"/>
  <c r="E104" i="2"/>
  <c r="E98" i="2"/>
  <c r="D98" i="2"/>
  <c r="F98" i="2" s="1"/>
  <c r="D94" i="2"/>
  <c r="F94" i="2" s="1"/>
  <c r="E94" i="2"/>
  <c r="D90" i="2"/>
  <c r="F90" i="2" s="1"/>
  <c r="E90" i="2"/>
  <c r="B88" i="2"/>
  <c r="C88" i="2" s="1"/>
  <c r="D88" i="2"/>
  <c r="F88" i="2" s="1"/>
  <c r="D87" i="2"/>
  <c r="F87" i="2" s="1"/>
  <c r="E87" i="2"/>
  <c r="D84" i="2"/>
  <c r="F84" i="2" s="1"/>
  <c r="E84" i="2"/>
  <c r="B77" i="2"/>
  <c r="C77" i="2" s="1"/>
  <c r="E77" i="2"/>
  <c r="D74" i="2"/>
  <c r="F74" i="2" s="1"/>
  <c r="E74" i="2"/>
  <c r="D61" i="2"/>
  <c r="F61" i="2" s="1"/>
  <c r="E61" i="2"/>
  <c r="E60" i="2"/>
  <c r="D60" i="2"/>
  <c r="F60" i="2" s="1"/>
  <c r="B54" i="2"/>
  <c r="C54" i="2" s="1"/>
  <c r="E54" i="2"/>
  <c r="D50" i="2"/>
  <c r="F50" i="2" s="1"/>
  <c r="E50" i="2"/>
  <c r="D37" i="2"/>
  <c r="F37" i="2" s="1"/>
  <c r="E37" i="2"/>
  <c r="D313" i="2"/>
  <c r="F313" i="2" s="1"/>
  <c r="E313" i="2"/>
  <c r="E298" i="2"/>
  <c r="D298" i="2"/>
  <c r="F298" i="2" s="1"/>
  <c r="E292" i="2"/>
  <c r="D292" i="2"/>
  <c r="F292" i="2" s="1"/>
  <c r="D288" i="2"/>
  <c r="F288" i="2" s="1"/>
  <c r="E288" i="2"/>
  <c r="D285" i="2"/>
  <c r="F285" i="2" s="1"/>
  <c r="E285" i="2"/>
  <c r="E365" i="2"/>
  <c r="D365" i="2"/>
  <c r="F365" i="2" s="1"/>
  <c r="E362" i="2"/>
  <c r="D362" i="2"/>
  <c r="F362" i="2" s="1"/>
  <c r="B355" i="2"/>
  <c r="C355" i="2" s="1"/>
  <c r="D355" i="2"/>
  <c r="F355" i="2" s="1"/>
  <c r="D352" i="2"/>
  <c r="F352" i="2" s="1"/>
  <c r="E352" i="2"/>
  <c r="E339" i="2"/>
  <c r="D339" i="2"/>
  <c r="F339" i="2" s="1"/>
  <c r="E336" i="2"/>
  <c r="D336" i="2"/>
  <c r="F336" i="2" s="1"/>
  <c r="D335" i="2"/>
  <c r="F335" i="2" s="1"/>
  <c r="E335" i="2"/>
  <c r="D332" i="2"/>
  <c r="F332" i="2" s="1"/>
  <c r="E332" i="2"/>
  <c r="E329" i="2"/>
  <c r="D329" i="2"/>
  <c r="F329" i="2" s="1"/>
  <c r="D322" i="2"/>
  <c r="F322" i="2" s="1"/>
  <c r="E322" i="2"/>
  <c r="B48" i="2"/>
  <c r="C48" i="2" s="1"/>
  <c r="D48" i="2"/>
  <c r="F48" i="2" s="1"/>
  <c r="B43" i="2"/>
  <c r="C43" i="2" s="1"/>
  <c r="E43" i="2"/>
  <c r="E349" i="2"/>
  <c r="E342" i="2"/>
  <c r="E355" i="2"/>
  <c r="G355" i="2" s="1"/>
  <c r="D358" i="2"/>
  <c r="F358" i="2" s="1"/>
  <c r="E348" i="2"/>
  <c r="E345" i="2"/>
  <c r="E361" i="2"/>
  <c r="E354" i="2"/>
  <c r="E367" i="2"/>
  <c r="E351" i="2"/>
  <c r="E341" i="2"/>
  <c r="E338" i="2"/>
  <c r="E364" i="2"/>
  <c r="E347" i="2"/>
  <c r="E344" i="2"/>
  <c r="D338" i="2"/>
  <c r="F338" i="2" s="1"/>
  <c r="D364" i="2"/>
  <c r="F364" i="2" s="1"/>
  <c r="E360" i="2"/>
  <c r="E357" i="2"/>
  <c r="E366" i="2"/>
  <c r="D360" i="2"/>
  <c r="F360" i="2" s="1"/>
  <c r="G360" i="2" s="1"/>
  <c r="E337" i="2"/>
  <c r="E363" i="2"/>
  <c r="E353" i="2"/>
  <c r="E350" i="2"/>
  <c r="E343" i="2"/>
  <c r="D337" i="2"/>
  <c r="F337" i="2" s="1"/>
  <c r="E359" i="2"/>
  <c r="E356" i="2"/>
  <c r="E346" i="2"/>
  <c r="E340" i="2"/>
  <c r="D346" i="2"/>
  <c r="F346" i="2" s="1"/>
  <c r="D326" i="2"/>
  <c r="F326" i="2" s="1"/>
  <c r="E326" i="2"/>
  <c r="D328" i="2"/>
  <c r="F328" i="2" s="1"/>
  <c r="E328" i="2"/>
  <c r="D316" i="2"/>
  <c r="F316" i="2" s="1"/>
  <c r="E316" i="2"/>
  <c r="E319" i="2"/>
  <c r="D333" i="2"/>
  <c r="F333" i="2" s="1"/>
  <c r="E312" i="2"/>
  <c r="E309" i="2"/>
  <c r="E325" i="2"/>
  <c r="E318" i="2"/>
  <c r="E331" i="2"/>
  <c r="E315" i="2"/>
  <c r="E334" i="2"/>
  <c r="D315" i="2"/>
  <c r="F315" i="2" s="1"/>
  <c r="E311" i="2"/>
  <c r="E308" i="2"/>
  <c r="E324" i="2"/>
  <c r="E321" i="2"/>
  <c r="D311" i="2"/>
  <c r="F311" i="2" s="1"/>
  <c r="E330" i="2"/>
  <c r="E327" i="2"/>
  <c r="E317" i="2"/>
  <c r="E314" i="2"/>
  <c r="E307" i="2"/>
  <c r="E323" i="2"/>
  <c r="E320" i="2"/>
  <c r="E310" i="2"/>
  <c r="E301" i="2"/>
  <c r="E294" i="2"/>
  <c r="E291" i="2"/>
  <c r="E281" i="2"/>
  <c r="E278" i="2"/>
  <c r="E304" i="2"/>
  <c r="E287" i="2"/>
  <c r="E284" i="2"/>
  <c r="D281" i="2"/>
  <c r="F281" i="2" s="1"/>
  <c r="D304" i="2"/>
  <c r="F304" i="2" s="1"/>
  <c r="E300" i="2"/>
  <c r="E297" i="2"/>
  <c r="E306" i="2"/>
  <c r="E277" i="2"/>
  <c r="D306" i="2"/>
  <c r="F306" i="2" s="1"/>
  <c r="G306" i="2" s="1"/>
  <c r="E303" i="2"/>
  <c r="E293" i="2"/>
  <c r="E290" i="2"/>
  <c r="E283" i="2"/>
  <c r="E299" i="2"/>
  <c r="E296" i="2"/>
  <c r="E286" i="2"/>
  <c r="E280" i="2"/>
  <c r="E276" i="2"/>
  <c r="E289" i="2"/>
  <c r="E282" i="2"/>
  <c r="E305" i="2"/>
  <c r="E302" i="2"/>
  <c r="E295" i="2"/>
  <c r="E279" i="2"/>
  <c r="D275" i="2"/>
  <c r="F275" i="2" s="1"/>
  <c r="G275" i="2" s="1"/>
  <c r="D256" i="2"/>
  <c r="F256" i="2" s="1"/>
  <c r="G256" i="2" s="1"/>
  <c r="E252" i="2"/>
  <c r="E249" i="2"/>
  <c r="E265" i="2"/>
  <c r="E258" i="2"/>
  <c r="E271" i="2"/>
  <c r="E255" i="2"/>
  <c r="E274" i="2"/>
  <c r="D271" i="2"/>
  <c r="F271" i="2" s="1"/>
  <c r="E268" i="2"/>
  <c r="E251" i="2"/>
  <c r="E248" i="2"/>
  <c r="E264" i="2"/>
  <c r="E261" i="2"/>
  <c r="D251" i="2"/>
  <c r="F251" i="2" s="1"/>
  <c r="G251" i="2" s="1"/>
  <c r="E270" i="2"/>
  <c r="E267" i="2"/>
  <c r="E257" i="2"/>
  <c r="E254" i="2"/>
  <c r="E247" i="2"/>
  <c r="E263" i="2"/>
  <c r="E260" i="2"/>
  <c r="E250" i="2"/>
  <c r="E273" i="2"/>
  <c r="E253" i="2"/>
  <c r="E246" i="2"/>
  <c r="D253" i="2"/>
  <c r="F253" i="2" s="1"/>
  <c r="E244" i="2"/>
  <c r="E227" i="2"/>
  <c r="E224" i="2"/>
  <c r="E240" i="2"/>
  <c r="E237" i="2"/>
  <c r="D240" i="2"/>
  <c r="F240" i="2" s="1"/>
  <c r="G240" i="2" s="1"/>
  <c r="E217" i="2"/>
  <c r="E243" i="2"/>
  <c r="E233" i="2"/>
  <c r="E230" i="2"/>
  <c r="E223" i="2"/>
  <c r="D243" i="2"/>
  <c r="F243" i="2" s="1"/>
  <c r="E239" i="2"/>
  <c r="E236" i="2"/>
  <c r="E226" i="2"/>
  <c r="E220" i="2"/>
  <c r="D239" i="2"/>
  <c r="F239" i="2" s="1"/>
  <c r="G239" i="2" s="1"/>
  <c r="E216" i="2"/>
  <c r="E229" i="2"/>
  <c r="E222" i="2"/>
  <c r="E245" i="2"/>
  <c r="E242" i="2"/>
  <c r="E235" i="2"/>
  <c r="E219" i="2"/>
  <c r="D234" i="2"/>
  <c r="F234" i="2" s="1"/>
  <c r="E238" i="2"/>
  <c r="E232" i="2"/>
  <c r="E215" i="2"/>
  <c r="E228" i="2"/>
  <c r="E225" i="2"/>
  <c r="E241" i="2"/>
  <c r="D194" i="2"/>
  <c r="F194" i="2" s="1"/>
  <c r="E194" i="2"/>
  <c r="D206" i="2"/>
  <c r="F206" i="2" s="1"/>
  <c r="E206" i="2"/>
  <c r="D193" i="2"/>
  <c r="F193" i="2" s="1"/>
  <c r="E193" i="2"/>
  <c r="D195" i="2"/>
  <c r="F195" i="2" s="1"/>
  <c r="E195" i="2"/>
  <c r="D207" i="2"/>
  <c r="F207" i="2" s="1"/>
  <c r="E207" i="2"/>
  <c r="D205" i="2"/>
  <c r="F205" i="2" s="1"/>
  <c r="E205" i="2"/>
  <c r="G208" i="2"/>
  <c r="E198" i="2"/>
  <c r="D192" i="2"/>
  <c r="F192" i="2" s="1"/>
  <c r="D189" i="2"/>
  <c r="F189" i="2" s="1"/>
  <c r="D198" i="2"/>
  <c r="F198" i="2" s="1"/>
  <c r="E197" i="2"/>
  <c r="E187" i="2"/>
  <c r="D191" i="2"/>
  <c r="F191" i="2" s="1"/>
  <c r="E203" i="2"/>
  <c r="E200" i="2"/>
  <c r="E190" i="2"/>
  <c r="E184" i="2"/>
  <c r="E191" i="2"/>
  <c r="E213" i="2"/>
  <c r="D190" i="2"/>
  <c r="F190" i="2" s="1"/>
  <c r="D184" i="2"/>
  <c r="F184" i="2" s="1"/>
  <c r="E186" i="2"/>
  <c r="E209" i="2"/>
  <c r="E199" i="2"/>
  <c r="E212" i="2"/>
  <c r="E202" i="2"/>
  <c r="E196" i="2"/>
  <c r="E192" i="2"/>
  <c r="D174" i="2"/>
  <c r="F174" i="2" s="1"/>
  <c r="E174" i="2"/>
  <c r="D161" i="2"/>
  <c r="F161" i="2" s="1"/>
  <c r="E161" i="2"/>
  <c r="B173" i="2"/>
  <c r="C173" i="2" s="1"/>
  <c r="D173" i="2"/>
  <c r="F173" i="2" s="1"/>
  <c r="E173" i="2"/>
  <c r="G173" i="2" s="1"/>
  <c r="E162" i="2"/>
  <c r="D162" i="2"/>
  <c r="F162" i="2" s="1"/>
  <c r="E181" i="2"/>
  <c r="E171" i="2"/>
  <c r="E158" i="2"/>
  <c r="E167" i="2"/>
  <c r="E164" i="2"/>
  <c r="E154" i="2"/>
  <c r="E180" i="2"/>
  <c r="E177" i="2"/>
  <c r="D167" i="2"/>
  <c r="F167" i="2" s="1"/>
  <c r="D154" i="2"/>
  <c r="F154" i="2" s="1"/>
  <c r="E157" i="2"/>
  <c r="E183" i="2"/>
  <c r="E170" i="2"/>
  <c r="E163" i="2"/>
  <c r="E179" i="2"/>
  <c r="E176" i="2"/>
  <c r="E166" i="2"/>
  <c r="E160" i="2"/>
  <c r="G178" i="2"/>
  <c r="E156" i="2"/>
  <c r="E134" i="2"/>
  <c r="D134" i="2"/>
  <c r="F134" i="2" s="1"/>
  <c r="D146" i="2"/>
  <c r="F146" i="2" s="1"/>
  <c r="E146" i="2"/>
  <c r="D131" i="2"/>
  <c r="F131" i="2" s="1"/>
  <c r="E131" i="2"/>
  <c r="B143" i="2"/>
  <c r="C143" i="2" s="1"/>
  <c r="D143" i="2"/>
  <c r="F143" i="2" s="1"/>
  <c r="E143" i="2"/>
  <c r="D147" i="2"/>
  <c r="F147" i="2" s="1"/>
  <c r="D137" i="2"/>
  <c r="F137" i="2" s="1"/>
  <c r="E130" i="2"/>
  <c r="G130" i="2" s="1"/>
  <c r="D127" i="2"/>
  <c r="F127" i="2" s="1"/>
  <c r="E124" i="2"/>
  <c r="G124" i="2" s="1"/>
  <c r="E133" i="2"/>
  <c r="E126" i="2"/>
  <c r="E149" i="2"/>
  <c r="G149" i="2" s="1"/>
  <c r="D126" i="2"/>
  <c r="F126" i="2" s="1"/>
  <c r="E123" i="2"/>
  <c r="E145" i="2"/>
  <c r="E138" i="2"/>
  <c r="D132" i="2"/>
  <c r="F132" i="2" s="1"/>
  <c r="G132" i="2" s="1"/>
  <c r="D129" i="2"/>
  <c r="F129" i="2" s="1"/>
  <c r="G129" i="2" s="1"/>
  <c r="E151" i="2"/>
  <c r="D138" i="2"/>
  <c r="F138" i="2" s="1"/>
  <c r="E135" i="2"/>
  <c r="E125" i="2"/>
  <c r="G142" i="2"/>
  <c r="E148" i="2"/>
  <c r="D135" i="2"/>
  <c r="F135" i="2" s="1"/>
  <c r="E128" i="2"/>
  <c r="D125" i="2"/>
  <c r="F125" i="2" s="1"/>
  <c r="E144" i="2"/>
  <c r="E141" i="2"/>
  <c r="D128" i="2"/>
  <c r="F128" i="2" s="1"/>
  <c r="E150" i="2"/>
  <c r="D102" i="2"/>
  <c r="F102" i="2" s="1"/>
  <c r="E102" i="2"/>
  <c r="E114" i="2"/>
  <c r="D114" i="2"/>
  <c r="F114" i="2" s="1"/>
  <c r="B100" i="2"/>
  <c r="C100" i="2" s="1"/>
  <c r="D100" i="2"/>
  <c r="F100" i="2" s="1"/>
  <c r="E100" i="2"/>
  <c r="G100" i="2" s="1"/>
  <c r="D112" i="2"/>
  <c r="F112" i="2" s="1"/>
  <c r="E112" i="2"/>
  <c r="E111" i="2"/>
  <c r="E101" i="2"/>
  <c r="E120" i="2"/>
  <c r="E117" i="2"/>
  <c r="E97" i="2"/>
  <c r="E113" i="2"/>
  <c r="E110" i="2"/>
  <c r="E103" i="2"/>
  <c r="E119" i="2"/>
  <c r="E116" i="2"/>
  <c r="E106" i="2"/>
  <c r="D103" i="2"/>
  <c r="F103" i="2" s="1"/>
  <c r="D116" i="2"/>
  <c r="F116" i="2" s="1"/>
  <c r="E96" i="2"/>
  <c r="E93" i="2"/>
  <c r="E109" i="2"/>
  <c r="E122" i="2"/>
  <c r="E115" i="2"/>
  <c r="E99" i="2"/>
  <c r="E118" i="2"/>
  <c r="D115" i="2"/>
  <c r="F115" i="2" s="1"/>
  <c r="E95" i="2"/>
  <c r="D118" i="2"/>
  <c r="F118" i="2" s="1"/>
  <c r="D95" i="2"/>
  <c r="F95" i="2" s="1"/>
  <c r="G95" i="2" s="1"/>
  <c r="E71" i="2"/>
  <c r="D71" i="2"/>
  <c r="F71" i="2" s="1"/>
  <c r="D83" i="2"/>
  <c r="F83" i="2" s="1"/>
  <c r="E83" i="2"/>
  <c r="D69" i="2"/>
  <c r="F69" i="2" s="1"/>
  <c r="E69" i="2"/>
  <c r="E81" i="2"/>
  <c r="D81" i="2"/>
  <c r="F81" i="2" s="1"/>
  <c r="B70" i="2"/>
  <c r="C70" i="2" s="1"/>
  <c r="D70" i="2"/>
  <c r="F70" i="2" s="1"/>
  <c r="E70" i="2"/>
  <c r="G70" i="2" s="1"/>
  <c r="D82" i="2"/>
  <c r="F82" i="2" s="1"/>
  <c r="E82" i="2"/>
  <c r="E80" i="2"/>
  <c r="D77" i="2"/>
  <c r="F77" i="2" s="1"/>
  <c r="G77" i="2" s="1"/>
  <c r="D67" i="2"/>
  <c r="F67" i="2" s="1"/>
  <c r="E64" i="2"/>
  <c r="D80" i="2"/>
  <c r="F80" i="2" s="1"/>
  <c r="G80" i="2" s="1"/>
  <c r="D64" i="2"/>
  <c r="F64" i="2" s="1"/>
  <c r="E73" i="2"/>
  <c r="E66" i="2"/>
  <c r="E89" i="2"/>
  <c r="E86" i="2"/>
  <c r="E79" i="2"/>
  <c r="E63" i="2"/>
  <c r="E92" i="2"/>
  <c r="E76" i="2"/>
  <c r="D63" i="2"/>
  <c r="F63" i="2" s="1"/>
  <c r="D92" i="2"/>
  <c r="F92" i="2" s="1"/>
  <c r="D76" i="2"/>
  <c r="F76" i="2" s="1"/>
  <c r="E72" i="2"/>
  <c r="D68" i="2"/>
  <c r="F68" i="2" s="1"/>
  <c r="E85" i="2"/>
  <c r="E78" i="2"/>
  <c r="D72" i="2"/>
  <c r="F72" i="2" s="1"/>
  <c r="G72" i="2" s="1"/>
  <c r="E91" i="2"/>
  <c r="E75" i="2"/>
  <c r="E65" i="2"/>
  <c r="E62" i="2"/>
  <c r="E88" i="2"/>
  <c r="G88" i="2" s="1"/>
  <c r="D41" i="2"/>
  <c r="F41" i="2" s="1"/>
  <c r="E41" i="2"/>
  <c r="B53" i="2"/>
  <c r="C53" i="2" s="1"/>
  <c r="E53" i="2"/>
  <c r="D53" i="2"/>
  <c r="F53" i="2" s="1"/>
  <c r="E45" i="2"/>
  <c r="D45" i="2"/>
  <c r="F45" i="2" s="1"/>
  <c r="B57" i="2"/>
  <c r="C57" i="2" s="1"/>
  <c r="D57" i="2"/>
  <c r="F57" i="2" s="1"/>
  <c r="E57" i="2"/>
  <c r="D34" i="2"/>
  <c r="F34" i="2" s="1"/>
  <c r="E34" i="2"/>
  <c r="D46" i="2"/>
  <c r="F46" i="2" s="1"/>
  <c r="E46" i="2"/>
  <c r="D54" i="2"/>
  <c r="F54" i="2" s="1"/>
  <c r="E51" i="2"/>
  <c r="E38" i="2"/>
  <c r="G54" i="2"/>
  <c r="E47" i="2"/>
  <c r="E44" i="2"/>
  <c r="D38" i="2"/>
  <c r="F38" i="2" s="1"/>
  <c r="E59" i="2"/>
  <c r="E56" i="2"/>
  <c r="D43" i="2"/>
  <c r="F43" i="2" s="1"/>
  <c r="E40" i="2"/>
  <c r="D56" i="2"/>
  <c r="F56" i="2" s="1"/>
  <c r="E36" i="2"/>
  <c r="E49" i="2"/>
  <c r="E42" i="2"/>
  <c r="G43" i="2"/>
  <c r="E55" i="2"/>
  <c r="E39" i="2"/>
  <c r="E58" i="2"/>
  <c r="E52" i="2"/>
  <c r="D39" i="2"/>
  <c r="F39" i="2" s="1"/>
  <c r="E35" i="2"/>
  <c r="D58" i="2"/>
  <c r="F58" i="2" s="1"/>
  <c r="E48" i="2"/>
  <c r="G48" i="2" s="1"/>
  <c r="D35" i="2"/>
  <c r="F35" i="2" s="1"/>
  <c r="G35" i="2" s="1"/>
  <c r="E26" i="2"/>
  <c r="D26" i="2"/>
  <c r="F26" i="2" s="1"/>
  <c r="B27" i="2"/>
  <c r="C27" i="2" s="1"/>
  <c r="D27" i="2"/>
  <c r="F27" i="2" s="1"/>
  <c r="E27" i="2"/>
  <c r="G27" i="2" s="1"/>
  <c r="C27" i="1" s="1"/>
  <c r="E25" i="2"/>
  <c r="D25" i="2"/>
  <c r="F25" i="2" s="1"/>
  <c r="G8" i="2"/>
  <c r="D15" i="2"/>
  <c r="F15" i="2" s="1"/>
  <c r="E11" i="2"/>
  <c r="E31" i="2"/>
  <c r="D18" i="2"/>
  <c r="F18" i="2" s="1"/>
  <c r="G12" i="2"/>
  <c r="E5" i="2"/>
  <c r="D5" i="2"/>
  <c r="F5" i="2" s="1"/>
  <c r="E4" i="2"/>
  <c r="D31" i="2"/>
  <c r="F31" i="2" s="1"/>
  <c r="E28" i="2"/>
  <c r="E7" i="2"/>
  <c r="D4" i="2"/>
  <c r="F4" i="2" s="1"/>
  <c r="E24" i="2"/>
  <c r="E21" i="2"/>
  <c r="E14" i="2"/>
  <c r="E30" i="2"/>
  <c r="E10" i="2"/>
  <c r="E23" i="2"/>
  <c r="E20" i="2"/>
  <c r="E33" i="2"/>
  <c r="D20" i="2"/>
  <c r="F20" i="2" s="1"/>
  <c r="D13" i="2"/>
  <c r="F13" i="2" s="1"/>
  <c r="E9" i="2"/>
  <c r="C12" i="1"/>
  <c r="C8" i="1"/>
  <c r="AJ21" i="1"/>
  <c r="G39" i="2"/>
  <c r="G241" i="2"/>
  <c r="G188" i="2"/>
  <c r="G116" i="2"/>
  <c r="B347" i="2"/>
  <c r="C347" i="2" s="1"/>
  <c r="B366" i="2"/>
  <c r="C366" i="2" s="1"/>
  <c r="B164" i="2"/>
  <c r="C164" i="2" s="1"/>
  <c r="B68" i="2"/>
  <c r="C68" i="2" s="1"/>
  <c r="B44" i="2"/>
  <c r="C44" i="2" s="1"/>
  <c r="B26" i="2"/>
  <c r="C26" i="2" s="1"/>
  <c r="B223" i="2"/>
  <c r="C223" i="2" s="1"/>
  <c r="B199" i="2"/>
  <c r="C199" i="2" s="1"/>
  <c r="G199" i="2" s="1"/>
  <c r="B175" i="2"/>
  <c r="C175" i="2" s="1"/>
  <c r="G175" i="2" s="1"/>
  <c r="B163" i="2"/>
  <c r="C163" i="2" s="1"/>
  <c r="G163" i="2" s="1"/>
  <c r="B139" i="2"/>
  <c r="C139" i="2" s="1"/>
  <c r="G139" i="2" s="1"/>
  <c r="B127" i="2"/>
  <c r="C127" i="2" s="1"/>
  <c r="G127" i="2" s="1"/>
  <c r="B91" i="2"/>
  <c r="C91" i="2" s="1"/>
  <c r="G91" i="2" s="1"/>
  <c r="B55" i="2"/>
  <c r="C55" i="2" s="1"/>
  <c r="G55" i="2" s="1"/>
  <c r="L5" i="1" s="1"/>
  <c r="B353" i="2"/>
  <c r="C353" i="2" s="1"/>
  <c r="B329" i="2"/>
  <c r="C329" i="2" s="1"/>
  <c r="G329" i="2" s="1"/>
  <c r="B317" i="2"/>
  <c r="C317" i="2" s="1"/>
  <c r="B362" i="2"/>
  <c r="C362" i="2" s="1"/>
  <c r="G362" i="2" s="1"/>
  <c r="B22" i="2"/>
  <c r="C22" i="2" s="1"/>
  <c r="G22" i="2" s="1"/>
  <c r="B10" i="2"/>
  <c r="C10" i="2" s="1"/>
  <c r="B36" i="2"/>
  <c r="C36" i="2" s="1"/>
  <c r="B267" i="2"/>
  <c r="C267" i="2" s="1"/>
  <c r="B255" i="2"/>
  <c r="C255" i="2" s="1"/>
  <c r="B231" i="2"/>
  <c r="C231" i="2" s="1"/>
  <c r="G231" i="2" s="1"/>
  <c r="B219" i="2"/>
  <c r="C219" i="2" s="1"/>
  <c r="G219" i="2" s="1"/>
  <c r="B183" i="2"/>
  <c r="C183" i="2" s="1"/>
  <c r="G183" i="2" s="1"/>
  <c r="B171" i="2"/>
  <c r="C171" i="2" s="1"/>
  <c r="B147" i="2"/>
  <c r="C147" i="2" s="1"/>
  <c r="G147" i="2" s="1"/>
  <c r="B123" i="2"/>
  <c r="C123" i="2" s="1"/>
  <c r="B111" i="2"/>
  <c r="C111" i="2" s="1"/>
  <c r="G111" i="2" s="1"/>
  <c r="B87" i="2"/>
  <c r="C87" i="2" s="1"/>
  <c r="G87" i="2" s="1"/>
  <c r="B75" i="2"/>
  <c r="C75" i="2" s="1"/>
  <c r="G75" i="2" s="1"/>
  <c r="B51" i="2"/>
  <c r="C51" i="2" s="1"/>
  <c r="G51" i="2" s="1"/>
  <c r="B186" i="2"/>
  <c r="C186" i="2" s="1"/>
  <c r="B122" i="2"/>
  <c r="C122" i="2" s="1"/>
  <c r="B110" i="2"/>
  <c r="C110" i="2" s="1"/>
  <c r="B86" i="2"/>
  <c r="C86" i="2" s="1"/>
  <c r="B74" i="2"/>
  <c r="C74" i="2" s="1"/>
  <c r="G74" i="2" s="1"/>
  <c r="B62" i="2"/>
  <c r="C62" i="2" s="1"/>
  <c r="B50" i="2"/>
  <c r="C50" i="2" s="1"/>
  <c r="G50" i="2" s="1"/>
  <c r="B348" i="2"/>
  <c r="C348" i="2" s="1"/>
  <c r="B257" i="2"/>
  <c r="C257" i="2" s="1"/>
  <c r="B185" i="2"/>
  <c r="C185" i="2" s="1"/>
  <c r="G185" i="2" s="1"/>
  <c r="B41" i="2"/>
  <c r="C41" i="2" s="1"/>
  <c r="B254" i="2"/>
  <c r="C254" i="2" s="1"/>
  <c r="B230" i="2"/>
  <c r="C230" i="2" s="1"/>
  <c r="B182" i="2"/>
  <c r="C182" i="2" s="1"/>
  <c r="G182" i="2" s="1"/>
  <c r="B157" i="2"/>
  <c r="C157" i="2" s="1"/>
  <c r="B145" i="2"/>
  <c r="C145" i="2" s="1"/>
  <c r="B133" i="2"/>
  <c r="C133" i="2" s="1"/>
  <c r="G133" i="2" s="1"/>
  <c r="B109" i="2"/>
  <c r="C109" i="2" s="1"/>
  <c r="B97" i="2"/>
  <c r="C97" i="2" s="1"/>
  <c r="B85" i="2"/>
  <c r="C85" i="2" s="1"/>
  <c r="B73" i="2"/>
  <c r="C73" i="2" s="1"/>
  <c r="B61" i="2"/>
  <c r="C61" i="2" s="1"/>
  <c r="G61" i="2" s="1"/>
  <c r="B49" i="2"/>
  <c r="C49" i="2" s="1"/>
  <c r="B37" i="2"/>
  <c r="C37" i="2" s="1"/>
  <c r="G37" i="2" s="1"/>
  <c r="B24" i="2"/>
  <c r="C24" i="2" s="1"/>
  <c r="B113" i="2"/>
  <c r="C113" i="2" s="1"/>
  <c r="B101" i="2"/>
  <c r="C101" i="2" s="1"/>
  <c r="B65" i="2"/>
  <c r="C65" i="2" s="1"/>
  <c r="B308" i="2"/>
  <c r="C308" i="2" s="1"/>
  <c r="B34" i="2"/>
  <c r="C34" i="2" s="1"/>
  <c r="B4" i="2"/>
  <c r="C4" i="2" s="1"/>
  <c r="B216" i="2"/>
  <c r="C216" i="2" s="1"/>
  <c r="B204" i="2"/>
  <c r="C204" i="2" s="1"/>
  <c r="G204" i="2" s="1"/>
  <c r="B180" i="2"/>
  <c r="C180" i="2" s="1"/>
  <c r="B168" i="2"/>
  <c r="C168" i="2" s="1"/>
  <c r="G168" i="2" s="1"/>
  <c r="U27" i="1" s="1"/>
  <c r="B156" i="2"/>
  <c r="C156" i="2" s="1"/>
  <c r="B144" i="2"/>
  <c r="C144" i="2" s="1"/>
  <c r="B120" i="2"/>
  <c r="C120" i="2" s="1"/>
  <c r="B108" i="2"/>
  <c r="C108" i="2" s="1"/>
  <c r="G108" i="2" s="1"/>
  <c r="B96" i="2"/>
  <c r="C96" i="2" s="1"/>
  <c r="B84" i="2"/>
  <c r="C84" i="2" s="1"/>
  <c r="G84" i="2" s="1"/>
  <c r="O4" i="1" s="1"/>
  <c r="B60" i="2"/>
  <c r="C60" i="2" s="1"/>
  <c r="G60" i="2" s="1"/>
  <c r="L10" i="1" s="1"/>
  <c r="B279" i="2"/>
  <c r="C279" i="2" s="1"/>
  <c r="B162" i="2"/>
  <c r="C162" i="2" s="1"/>
  <c r="B339" i="2"/>
  <c r="C339" i="2" s="1"/>
  <c r="G339" i="2" s="1"/>
  <c r="B5" i="2"/>
  <c r="C5" i="2" s="1"/>
  <c r="B265" i="2"/>
  <c r="C265" i="2" s="1"/>
  <c r="B217" i="2"/>
  <c r="C217" i="2" s="1"/>
  <c r="B19" i="2"/>
  <c r="C19" i="2" s="1"/>
  <c r="G19" i="2" s="1"/>
  <c r="B227" i="2"/>
  <c r="C227" i="2" s="1"/>
  <c r="G227" i="2" s="1"/>
  <c r="B215" i="2"/>
  <c r="C215" i="2" s="1"/>
  <c r="B179" i="2"/>
  <c r="C179" i="2" s="1"/>
  <c r="B119" i="2"/>
  <c r="C119" i="2" s="1"/>
  <c r="G119" i="2" s="1"/>
  <c r="B71" i="2"/>
  <c r="C71" i="2" s="1"/>
  <c r="B59" i="2"/>
  <c r="C59" i="2" s="1"/>
  <c r="B47" i="2"/>
  <c r="C47" i="2" s="1"/>
  <c r="B321" i="2"/>
  <c r="C321" i="2" s="1"/>
  <c r="B137" i="2"/>
  <c r="C137" i="2" s="1"/>
  <c r="B363" i="2"/>
  <c r="C363" i="2" s="1"/>
  <c r="B52" i="2"/>
  <c r="C52" i="2" s="1"/>
  <c r="B40" i="2"/>
  <c r="C40" i="2" s="1"/>
  <c r="B283" i="2"/>
  <c r="C283" i="2" s="1"/>
  <c r="B266" i="2"/>
  <c r="C266" i="2" s="1"/>
  <c r="G266" i="2" s="1"/>
  <c r="B242" i="2"/>
  <c r="C242" i="2" s="1"/>
  <c r="B218" i="2"/>
  <c r="C218" i="2" s="1"/>
  <c r="G218" i="2" s="1"/>
  <c r="B194" i="2"/>
  <c r="C194" i="2" s="1"/>
  <c r="B17" i="2"/>
  <c r="C17" i="2" s="1"/>
  <c r="G17" i="2" s="1"/>
  <c r="B94" i="2"/>
  <c r="C94" i="2" s="1"/>
  <c r="G94" i="2" s="1"/>
  <c r="B82" i="2"/>
  <c r="C82" i="2" s="1"/>
  <c r="B46" i="2"/>
  <c r="C46" i="2" s="1"/>
  <c r="B301" i="2"/>
  <c r="C301" i="2" s="1"/>
  <c r="B277" i="2"/>
  <c r="C277" i="2" s="1"/>
  <c r="G277" i="2" s="1"/>
  <c r="B114" i="2"/>
  <c r="C114" i="2" s="1"/>
  <c r="B78" i="2"/>
  <c r="C78" i="2" s="1"/>
  <c r="B66" i="2"/>
  <c r="C66" i="2" s="1"/>
  <c r="B42" i="2"/>
  <c r="C42" i="2" s="1"/>
  <c r="B340" i="2"/>
  <c r="C340" i="2" s="1"/>
  <c r="B161" i="2"/>
  <c r="C161" i="2" s="1"/>
  <c r="B202" i="2"/>
  <c r="C202" i="2" s="1"/>
  <c r="B28" i="2"/>
  <c r="C28" i="2" s="1"/>
  <c r="B16" i="2"/>
  <c r="C16" i="2" s="1"/>
  <c r="G16" i="2" s="1"/>
  <c r="B273" i="2"/>
  <c r="C273" i="2" s="1"/>
  <c r="B261" i="2"/>
  <c r="C261" i="2" s="1"/>
  <c r="B249" i="2"/>
  <c r="C249" i="2" s="1"/>
  <c r="B213" i="2"/>
  <c r="C213" i="2" s="1"/>
  <c r="B189" i="2"/>
  <c r="C189" i="2" s="1"/>
  <c r="B177" i="2"/>
  <c r="C177" i="2" s="1"/>
  <c r="B165" i="2"/>
  <c r="C165" i="2" s="1"/>
  <c r="G165" i="2" s="1"/>
  <c r="B141" i="2"/>
  <c r="C141" i="2" s="1"/>
  <c r="B105" i="2"/>
  <c r="C105" i="2" s="1"/>
  <c r="G105" i="2" s="1"/>
  <c r="B93" i="2"/>
  <c r="C93" i="2" s="1"/>
  <c r="B81" i="2"/>
  <c r="C81" i="2" s="1"/>
  <c r="B69" i="2"/>
  <c r="C69" i="2" s="1"/>
  <c r="B45" i="2"/>
  <c r="C45" i="2" s="1"/>
  <c r="B288" i="2"/>
  <c r="C288" i="2" s="1"/>
  <c r="G288" i="2" s="1"/>
  <c r="B367" i="2"/>
  <c r="C367" i="2" s="1"/>
  <c r="B343" i="2"/>
  <c r="C343" i="2" s="1"/>
  <c r="B331" i="2"/>
  <c r="C331" i="2" s="1"/>
  <c r="B263" i="2"/>
  <c r="C263" i="2" s="1"/>
  <c r="B203" i="2"/>
  <c r="C203" i="2" s="1"/>
  <c r="G203" i="2" s="1"/>
  <c r="B25" i="2"/>
  <c r="C25" i="2" s="1"/>
  <c r="G25" i="2" s="1"/>
  <c r="B13" i="2"/>
  <c r="C13" i="2" s="1"/>
  <c r="G13" i="2" s="1"/>
  <c r="C13" i="1" s="1"/>
  <c r="D3" i="2"/>
  <c r="F3" i="2" s="1"/>
  <c r="B236" i="2"/>
  <c r="C236" i="2" s="1"/>
  <c r="B6" i="2"/>
  <c r="C6" i="2" s="1"/>
  <c r="G6" i="2" s="1"/>
  <c r="B289" i="2"/>
  <c r="C289" i="2" s="1"/>
  <c r="B297" i="2"/>
  <c r="C297" i="2" s="1"/>
  <c r="B195" i="2"/>
  <c r="C195" i="2" s="1"/>
  <c r="B341" i="2"/>
  <c r="C341" i="2" s="1"/>
  <c r="B290" i="2"/>
  <c r="C290" i="2" s="1"/>
  <c r="B32" i="2"/>
  <c r="C32" i="2" s="1"/>
  <c r="G32" i="2" s="1"/>
  <c r="B345" i="2"/>
  <c r="C345" i="2" s="1"/>
  <c r="B296" i="2"/>
  <c r="C296" i="2" s="1"/>
  <c r="G296" i="2" s="1"/>
  <c r="B282" i="2"/>
  <c r="C282" i="2" s="1"/>
  <c r="B247" i="2"/>
  <c r="C247" i="2" s="1"/>
  <c r="B226" i="2"/>
  <c r="C226" i="2" s="1"/>
  <c r="B318" i="2"/>
  <c r="C318" i="2" s="1"/>
  <c r="B312" i="2"/>
  <c r="C312" i="2" s="1"/>
  <c r="G312" i="2" s="1"/>
  <c r="B15" i="2"/>
  <c r="C15" i="2" s="1"/>
  <c r="B102" i="2"/>
  <c r="C102" i="2" s="1"/>
  <c r="B278" i="2"/>
  <c r="C278" i="2" s="1"/>
  <c r="B313" i="2"/>
  <c r="C313" i="2" s="1"/>
  <c r="G313" i="2" s="1"/>
  <c r="B260" i="2"/>
  <c r="C260" i="2" s="1"/>
  <c r="G260" i="2" s="1"/>
  <c r="B197" i="2"/>
  <c r="C197" i="2" s="1"/>
  <c r="B30" i="2"/>
  <c r="C30" i="2" s="1"/>
  <c r="B310" i="2"/>
  <c r="C310" i="2" s="1"/>
  <c r="B303" i="2"/>
  <c r="C303" i="2" s="1"/>
  <c r="B294" i="2"/>
  <c r="C294" i="2" s="1"/>
  <c r="B276" i="2"/>
  <c r="C276" i="2" s="1"/>
  <c r="B23" i="2"/>
  <c r="C23" i="2" s="1"/>
  <c r="B11" i="2"/>
  <c r="C11" i="2" s="1"/>
  <c r="B29" i="2"/>
  <c r="C29" i="2" s="1"/>
  <c r="G29" i="2" s="1"/>
  <c r="B287" i="2"/>
  <c r="C287" i="2" s="1"/>
  <c r="G287" i="2" s="1"/>
  <c r="B18" i="2"/>
  <c r="C18" i="2" s="1"/>
  <c r="G18" i="2" s="1"/>
  <c r="B333" i="2"/>
  <c r="C333" i="2" s="1"/>
  <c r="B330" i="2"/>
  <c r="C330" i="2" s="1"/>
  <c r="B33" i="2"/>
  <c r="C33" i="2" s="1"/>
  <c r="B356" i="2"/>
  <c r="C356" i="2" s="1"/>
  <c r="B237" i="2"/>
  <c r="C237" i="2" s="1"/>
  <c r="B131" i="2"/>
  <c r="C131" i="2" s="1"/>
  <c r="B79" i="2"/>
  <c r="C79" i="2" s="1"/>
  <c r="B274" i="2"/>
  <c r="C274" i="2" s="1"/>
  <c r="B342" i="2"/>
  <c r="C342" i="2" s="1"/>
  <c r="B335" i="2"/>
  <c r="C335" i="2" s="1"/>
  <c r="G335" i="2" s="1"/>
  <c r="B209" i="2"/>
  <c r="C209" i="2" s="1"/>
  <c r="B117" i="2"/>
  <c r="C117" i="2" s="1"/>
  <c r="B14" i="2"/>
  <c r="C14" i="2" s="1"/>
  <c r="G14" i="2" s="1"/>
  <c r="F23" i="1" s="1"/>
  <c r="B21" i="2"/>
  <c r="C21" i="2" s="1"/>
  <c r="B9" i="2"/>
  <c r="C9" i="2" s="1"/>
  <c r="B334" i="2"/>
  <c r="C334" i="2" s="1"/>
  <c r="B314" i="2"/>
  <c r="C314" i="2" s="1"/>
  <c r="B89" i="2"/>
  <c r="C89" i="2" s="1"/>
  <c r="B351" i="2"/>
  <c r="C351" i="2" s="1"/>
  <c r="B324" i="2"/>
  <c r="C324" i="2" s="1"/>
  <c r="G324" i="2" s="1"/>
  <c r="B246" i="2"/>
  <c r="C246" i="2" s="1"/>
  <c r="B233" i="2"/>
  <c r="C233" i="2" s="1"/>
  <c r="B229" i="2"/>
  <c r="C229" i="2" s="1"/>
  <c r="B187" i="2"/>
  <c r="C187" i="2" s="1"/>
  <c r="B166" i="2"/>
  <c r="C166" i="2" s="1"/>
  <c r="B151" i="2"/>
  <c r="C151" i="2" s="1"/>
  <c r="B121" i="2"/>
  <c r="C121" i="2" s="1"/>
  <c r="G121" i="2" s="1"/>
  <c r="B107" i="2"/>
  <c r="C107" i="2" s="1"/>
  <c r="G107" i="2" s="1"/>
  <c r="B99" i="2"/>
  <c r="C99" i="2" s="1"/>
  <c r="B83" i="2"/>
  <c r="C83" i="2" s="1"/>
  <c r="B67" i="2"/>
  <c r="C67" i="2" s="1"/>
  <c r="B225" i="2"/>
  <c r="C225" i="2" s="1"/>
  <c r="B174" i="2"/>
  <c r="C174" i="2" s="1"/>
  <c r="B170" i="2"/>
  <c r="C170" i="2" s="1"/>
  <c r="B158" i="2"/>
  <c r="C158" i="2" s="1"/>
  <c r="B146" i="2"/>
  <c r="C146" i="2" s="1"/>
  <c r="B134" i="2"/>
  <c r="C134" i="2" s="1"/>
  <c r="B365" i="2"/>
  <c r="C365" i="2" s="1"/>
  <c r="G365" i="2" s="1"/>
  <c r="B285" i="2"/>
  <c r="C285" i="2" s="1"/>
  <c r="G285" i="2" s="1"/>
  <c r="B270" i="2"/>
  <c r="C270" i="2" s="1"/>
  <c r="G270" i="2" s="1"/>
  <c r="B250" i="2"/>
  <c r="C250" i="2" s="1"/>
  <c r="B206" i="2"/>
  <c r="C206" i="2" s="1"/>
  <c r="B153" i="2"/>
  <c r="C153" i="2" s="1"/>
  <c r="G153" i="2" s="1"/>
  <c r="B98" i="2"/>
  <c r="C98" i="2" s="1"/>
  <c r="G98" i="2" s="1"/>
  <c r="E3" i="2"/>
  <c r="B358" i="2"/>
  <c r="C358" i="2" s="1"/>
  <c r="B327" i="2"/>
  <c r="C327" i="2" s="1"/>
  <c r="B235" i="2"/>
  <c r="C235" i="2" s="1"/>
  <c r="B148" i="2"/>
  <c r="C148" i="2" s="1"/>
  <c r="B152" i="2"/>
  <c r="C152" i="2" s="1"/>
  <c r="G152" i="2" s="1"/>
  <c r="B155" i="2"/>
  <c r="C155" i="2" s="1"/>
  <c r="G155" i="2" s="1"/>
  <c r="B222" i="2"/>
  <c r="C222" i="2" s="1"/>
  <c r="B361" i="2"/>
  <c r="C361" i="2" s="1"/>
  <c r="B295" i="2"/>
  <c r="C295" i="2" s="1"/>
  <c r="B264" i="2"/>
  <c r="C264" i="2" s="1"/>
  <c r="B210" i="2"/>
  <c r="C210" i="2" s="1"/>
  <c r="G210" i="2" s="1"/>
  <c r="B228" i="2"/>
  <c r="C228" i="2" s="1"/>
  <c r="B214" i="2"/>
  <c r="C214" i="2" s="1"/>
  <c r="G214" i="2" s="1"/>
  <c r="B150" i="2"/>
  <c r="C150" i="2" s="1"/>
  <c r="B106" i="2"/>
  <c r="C106" i="2" s="1"/>
  <c r="B232" i="2"/>
  <c r="C232" i="2" s="1"/>
  <c r="B220" i="2"/>
  <c r="C220" i="2" s="1"/>
  <c r="B305" i="2"/>
  <c r="C305" i="2" s="1"/>
  <c r="B291" i="2"/>
  <c r="C291" i="2" s="1"/>
  <c r="B332" i="2"/>
  <c r="C332" i="2" s="1"/>
  <c r="G332" i="2" s="1"/>
  <c r="B307" i="2"/>
  <c r="C307" i="2" s="1"/>
  <c r="B269" i="2"/>
  <c r="C269" i="2" s="1"/>
  <c r="G269" i="2" s="1"/>
  <c r="B238" i="2"/>
  <c r="C238" i="2" s="1"/>
  <c r="B224" i="2"/>
  <c r="C224" i="2" s="1"/>
  <c r="B172" i="2"/>
  <c r="C172" i="2" s="1"/>
  <c r="G172" i="2" s="1"/>
  <c r="B298" i="2"/>
  <c r="C298" i="2" s="1"/>
  <c r="G298" i="2" s="1"/>
  <c r="B316" i="2"/>
  <c r="C316" i="2" s="1"/>
  <c r="B350" i="2"/>
  <c r="C350" i="2" s="1"/>
  <c r="B284" i="2"/>
  <c r="C284" i="2" s="1"/>
  <c r="B245" i="2"/>
  <c r="C245" i="2" s="1"/>
  <c r="B326" i="2"/>
  <c r="C326" i="2" s="1"/>
  <c r="B300" i="2"/>
  <c r="C300" i="2" s="1"/>
  <c r="B272" i="2"/>
  <c r="C272" i="2" s="1"/>
  <c r="G272" i="2" s="1"/>
  <c r="B262" i="2"/>
  <c r="C262" i="2" s="1"/>
  <c r="G262" i="2" s="1"/>
  <c r="B258" i="2"/>
  <c r="C258" i="2" s="1"/>
  <c r="B252" i="2"/>
  <c r="C252" i="2" s="1"/>
  <c r="B248" i="2"/>
  <c r="C248" i="2" s="1"/>
  <c r="B234" i="2"/>
  <c r="C234" i="2" s="1"/>
  <c r="G234" i="2" s="1"/>
  <c r="B319" i="2"/>
  <c r="C319" i="2" s="1"/>
  <c r="B169" i="2"/>
  <c r="C169" i="2" s="1"/>
  <c r="G169" i="2" s="1"/>
  <c r="B293" i="2"/>
  <c r="C293" i="2" s="1"/>
  <c r="B268" i="2"/>
  <c r="C268" i="2" s="1"/>
  <c r="B323" i="2"/>
  <c r="C323" i="2" s="1"/>
  <c r="B357" i="2"/>
  <c r="C357" i="2" s="1"/>
  <c r="B352" i="2"/>
  <c r="C352" i="2" s="1"/>
  <c r="G352" i="2" s="1"/>
  <c r="B280" i="2"/>
  <c r="C280" i="2" s="1"/>
  <c r="B244" i="2"/>
  <c r="C244" i="2" s="1"/>
  <c r="B212" i="2"/>
  <c r="C212" i="2" s="1"/>
  <c r="B193" i="2"/>
  <c r="C193" i="2" s="1"/>
  <c r="B336" i="2"/>
  <c r="C336" i="2" s="1"/>
  <c r="G336" i="2" s="1"/>
  <c r="B320" i="2"/>
  <c r="C320" i="2" s="1"/>
  <c r="B309" i="2"/>
  <c r="C309" i="2" s="1"/>
  <c r="B207" i="2"/>
  <c r="C207" i="2" s="1"/>
  <c r="B159" i="2"/>
  <c r="C159" i="2" s="1"/>
  <c r="G159" i="2" s="1"/>
  <c r="B359" i="2"/>
  <c r="C359" i="2" s="1"/>
  <c r="B354" i="2"/>
  <c r="C354" i="2" s="1"/>
  <c r="B349" i="2"/>
  <c r="C349" i="2" s="1"/>
  <c r="B344" i="2"/>
  <c r="C344" i="2" s="1"/>
  <c r="B328" i="2"/>
  <c r="C328" i="2" s="1"/>
  <c r="B325" i="2"/>
  <c r="C325" i="2" s="1"/>
  <c r="B322" i="2"/>
  <c r="C322" i="2" s="1"/>
  <c r="G322" i="2" s="1"/>
  <c r="B302" i="2"/>
  <c r="C302" i="2" s="1"/>
  <c r="B299" i="2"/>
  <c r="C299" i="2" s="1"/>
  <c r="B292" i="2"/>
  <c r="C292" i="2" s="1"/>
  <c r="G292" i="2" s="1"/>
  <c r="B286" i="2"/>
  <c r="C286" i="2" s="1"/>
  <c r="B196" i="2"/>
  <c r="C196" i="2" s="1"/>
  <c r="B181" i="2"/>
  <c r="C181" i="2" s="1"/>
  <c r="B140" i="2"/>
  <c r="C140" i="2" s="1"/>
  <c r="G140" i="2" s="1"/>
  <c r="B112" i="2"/>
  <c r="C112" i="2" s="1"/>
  <c r="B201" i="2"/>
  <c r="C201" i="2" s="1"/>
  <c r="G201" i="2" s="1"/>
  <c r="B104" i="2"/>
  <c r="C104" i="2" s="1"/>
  <c r="G104" i="2" s="1"/>
  <c r="B259" i="2"/>
  <c r="C259" i="2" s="1"/>
  <c r="G259" i="2" s="1"/>
  <c r="B221" i="2"/>
  <c r="C221" i="2" s="1"/>
  <c r="G221" i="2" s="1"/>
  <c r="B211" i="2"/>
  <c r="C211" i="2" s="1"/>
  <c r="G211" i="2" s="1"/>
  <c r="B205" i="2"/>
  <c r="C205" i="2" s="1"/>
  <c r="G205" i="2" s="1"/>
  <c r="B200" i="2"/>
  <c r="C200" i="2" s="1"/>
  <c r="B176" i="2"/>
  <c r="C176" i="2" s="1"/>
  <c r="B90" i="2"/>
  <c r="C90" i="2" s="1"/>
  <c r="G90" i="2" s="1"/>
  <c r="O10" i="1" s="1"/>
  <c r="B160" i="2"/>
  <c r="C160" i="2" s="1"/>
  <c r="B7" i="2"/>
  <c r="C7" i="2" s="1"/>
  <c r="G9" i="2" l="1"/>
  <c r="G23" i="2"/>
  <c r="G24" i="2"/>
  <c r="G4" i="2"/>
  <c r="G11" i="2"/>
  <c r="C11" i="1" s="1"/>
  <c r="G15" i="2"/>
  <c r="G49" i="2"/>
  <c r="G36" i="2"/>
  <c r="G59" i="2"/>
  <c r="G44" i="2"/>
  <c r="G47" i="2"/>
  <c r="G38" i="2"/>
  <c r="F7" i="1" s="1"/>
  <c r="G68" i="2"/>
  <c r="G67" i="2"/>
  <c r="G122" i="2"/>
  <c r="G96" i="2"/>
  <c r="O16" i="1" s="1"/>
  <c r="G120" i="2"/>
  <c r="G112" i="2"/>
  <c r="L22" i="1" s="1"/>
  <c r="G144" i="2"/>
  <c r="G125" i="2"/>
  <c r="G126" i="2"/>
  <c r="G137" i="2"/>
  <c r="G156" i="2"/>
  <c r="G166" i="2"/>
  <c r="G176" i="2"/>
  <c r="G179" i="2"/>
  <c r="G180" i="2"/>
  <c r="G154" i="2"/>
  <c r="G162" i="2"/>
  <c r="G184" i="2"/>
  <c r="G187" i="2"/>
  <c r="G189" i="2"/>
  <c r="G192" i="2"/>
  <c r="G198" i="2"/>
  <c r="G228" i="2"/>
  <c r="G215" i="2"/>
  <c r="G216" i="2"/>
  <c r="G236" i="2"/>
  <c r="G224" i="2"/>
  <c r="G246" i="2"/>
  <c r="G253" i="2"/>
  <c r="G263" i="2"/>
  <c r="G261" i="2"/>
  <c r="G264" i="2"/>
  <c r="G265" i="2"/>
  <c r="G249" i="2"/>
  <c r="G252" i="2"/>
  <c r="G302" i="2"/>
  <c r="AD29" i="1" s="1"/>
  <c r="G305" i="2"/>
  <c r="G276" i="2"/>
  <c r="G299" i="2"/>
  <c r="G303" i="2"/>
  <c r="G300" i="2"/>
  <c r="G281" i="2"/>
  <c r="G323" i="2"/>
  <c r="G308" i="2"/>
  <c r="G315" i="2"/>
  <c r="AG11" i="1" s="1"/>
  <c r="G333" i="2"/>
  <c r="G359" i="2"/>
  <c r="G347" i="2"/>
  <c r="G364" i="2"/>
  <c r="G348" i="2"/>
  <c r="G358" i="2"/>
  <c r="G342" i="2"/>
  <c r="G349" i="2"/>
  <c r="AJ14" i="1"/>
  <c r="G344" i="2"/>
  <c r="G353" i="2"/>
  <c r="AJ19" i="1" s="1"/>
  <c r="G338" i="2"/>
  <c r="AJ4" i="1"/>
  <c r="AJ30" i="1"/>
  <c r="AJ18" i="1"/>
  <c r="G363" i="2"/>
  <c r="AJ29" i="1" s="1"/>
  <c r="G341" i="2"/>
  <c r="G350" i="2"/>
  <c r="AJ5" i="1"/>
  <c r="G337" i="2"/>
  <c r="G351" i="2"/>
  <c r="G343" i="2"/>
  <c r="G367" i="2"/>
  <c r="G366" i="2"/>
  <c r="G354" i="2"/>
  <c r="G340" i="2"/>
  <c r="AJ6" i="1" s="1"/>
  <c r="G357" i="2"/>
  <c r="G361" i="2"/>
  <c r="AJ28" i="1"/>
  <c r="AJ8" i="1"/>
  <c r="AJ9" i="1"/>
  <c r="G346" i="2"/>
  <c r="G345" i="2"/>
  <c r="AJ11" i="1" s="1"/>
  <c r="AJ12" i="1"/>
  <c r="G356" i="2"/>
  <c r="G320" i="2"/>
  <c r="AJ26" i="1" s="1"/>
  <c r="G307" i="2"/>
  <c r="AJ13" i="1" s="1"/>
  <c r="G334" i="2"/>
  <c r="G314" i="2"/>
  <c r="AJ20" i="1" s="1"/>
  <c r="G317" i="2"/>
  <c r="G331" i="2"/>
  <c r="G316" i="2"/>
  <c r="AG8" i="1"/>
  <c r="G327" i="2"/>
  <c r="AJ33" i="1" s="1"/>
  <c r="G318" i="2"/>
  <c r="AJ24" i="1" s="1"/>
  <c r="G330" i="2"/>
  <c r="G325" i="2"/>
  <c r="AJ31" i="1" s="1"/>
  <c r="G309" i="2"/>
  <c r="G328" i="2"/>
  <c r="AG24" i="1" s="1"/>
  <c r="AG21" i="1"/>
  <c r="AG32" i="1"/>
  <c r="AG13" i="1"/>
  <c r="G311" i="2"/>
  <c r="AJ17" i="1" s="1"/>
  <c r="G321" i="2"/>
  <c r="G326" i="2"/>
  <c r="AJ32" i="1" s="1"/>
  <c r="AG28" i="1"/>
  <c r="G310" i="2"/>
  <c r="AG6" i="1" s="1"/>
  <c r="G319" i="2"/>
  <c r="AJ25" i="1" s="1"/>
  <c r="G291" i="2"/>
  <c r="AG27" i="1" s="1"/>
  <c r="G282" i="2"/>
  <c r="AG18" i="1" s="1"/>
  <c r="G294" i="2"/>
  <c r="AG30" i="1" s="1"/>
  <c r="AD3" i="1"/>
  <c r="G289" i="2"/>
  <c r="AG25" i="1" s="1"/>
  <c r="G301" i="2"/>
  <c r="AD8" i="1"/>
  <c r="G297" i="2"/>
  <c r="AJ3" i="1" s="1"/>
  <c r="AD32" i="1"/>
  <c r="G280" i="2"/>
  <c r="AG16" i="1" s="1"/>
  <c r="AD33" i="1"/>
  <c r="AD18" i="1"/>
  <c r="G286" i="2"/>
  <c r="AG22" i="1" s="1"/>
  <c r="AD13" i="1"/>
  <c r="AD19" i="1"/>
  <c r="AD27" i="1"/>
  <c r="AD23" i="1"/>
  <c r="G284" i="2"/>
  <c r="AG20" i="1" s="1"/>
  <c r="G283" i="2"/>
  <c r="AG19" i="1" s="1"/>
  <c r="G279" i="2"/>
  <c r="G290" i="2"/>
  <c r="AG26" i="1" s="1"/>
  <c r="G304" i="2"/>
  <c r="AD26" i="1"/>
  <c r="G295" i="2"/>
  <c r="AG31" i="1" s="1"/>
  <c r="G293" i="2"/>
  <c r="AG29" i="1" s="1"/>
  <c r="G278" i="2"/>
  <c r="AG14" i="1" s="1"/>
  <c r="G273" i="2"/>
  <c r="AG9" i="1" s="1"/>
  <c r="G248" i="2"/>
  <c r="AA13" i="1"/>
  <c r="G250" i="2"/>
  <c r="G268" i="2"/>
  <c r="AA16" i="1"/>
  <c r="AA8" i="1"/>
  <c r="G247" i="2"/>
  <c r="AD14" i="1" s="1"/>
  <c r="G274" i="2"/>
  <c r="AG10" i="1" s="1"/>
  <c r="AA18" i="1"/>
  <c r="G254" i="2"/>
  <c r="AD21" i="1" s="1"/>
  <c r="AA7" i="1"/>
  <c r="G257" i="2"/>
  <c r="AD24" i="1" s="1"/>
  <c r="G255" i="2"/>
  <c r="G267" i="2"/>
  <c r="AG3" i="1" s="1"/>
  <c r="G271" i="2"/>
  <c r="G258" i="2"/>
  <c r="AD25" i="1" s="1"/>
  <c r="AA15" i="1"/>
  <c r="X6" i="1"/>
  <c r="AA21" i="1"/>
  <c r="X12" i="1"/>
  <c r="G232" i="2"/>
  <c r="AA29" i="1" s="1"/>
  <c r="G220" i="2"/>
  <c r="AA17" i="1" s="1"/>
  <c r="G237" i="2"/>
  <c r="AD4" i="1" s="1"/>
  <c r="X15" i="1"/>
  <c r="G238" i="2"/>
  <c r="G226" i="2"/>
  <c r="AA23" i="1" s="1"/>
  <c r="X3" i="1"/>
  <c r="X16" i="1"/>
  <c r="X27" i="1"/>
  <c r="G235" i="2"/>
  <c r="AA32" i="1" s="1"/>
  <c r="G244" i="2"/>
  <c r="AD11" i="1" s="1"/>
  <c r="X20" i="1"/>
  <c r="G242" i="2"/>
  <c r="AD9" i="1" s="1"/>
  <c r="G223" i="2"/>
  <c r="AA20" i="1" s="1"/>
  <c r="X32" i="1"/>
  <c r="X4" i="1"/>
  <c r="G245" i="2"/>
  <c r="G230" i="2"/>
  <c r="AA27" i="1" s="1"/>
  <c r="X7" i="1"/>
  <c r="G222" i="2"/>
  <c r="AA19" i="1" s="1"/>
  <c r="G233" i="2"/>
  <c r="AA30" i="1" s="1"/>
  <c r="X29" i="1"/>
  <c r="G229" i="2"/>
  <c r="AA26" i="1" s="1"/>
  <c r="G243" i="2"/>
  <c r="G225" i="2"/>
  <c r="AA22" i="1" s="1"/>
  <c r="G217" i="2"/>
  <c r="AA14" i="1" s="1"/>
  <c r="U8" i="1"/>
  <c r="G186" i="2"/>
  <c r="G197" i="2"/>
  <c r="X25" i="1" s="1"/>
  <c r="G207" i="2"/>
  <c r="AA4" i="1" s="1"/>
  <c r="G195" i="2"/>
  <c r="X23" i="1" s="1"/>
  <c r="G193" i="2"/>
  <c r="X21" i="1" s="1"/>
  <c r="G196" i="2"/>
  <c r="X24" i="1" s="1"/>
  <c r="G202" i="2"/>
  <c r="X30" i="1" s="1"/>
  <c r="G190" i="2"/>
  <c r="X18" i="1" s="1"/>
  <c r="G206" i="2"/>
  <c r="U18" i="1"/>
  <c r="G212" i="2"/>
  <c r="AA9" i="1" s="1"/>
  <c r="G200" i="2"/>
  <c r="X28" i="1" s="1"/>
  <c r="U12" i="1"/>
  <c r="G213" i="2"/>
  <c r="AA10" i="1" s="1"/>
  <c r="U6" i="1"/>
  <c r="U11" i="1"/>
  <c r="U22" i="1"/>
  <c r="U21" i="1"/>
  <c r="G194" i="2"/>
  <c r="U32" i="1"/>
  <c r="G191" i="2"/>
  <c r="X19" i="1" s="1"/>
  <c r="G209" i="2"/>
  <c r="AA6" i="1" s="1"/>
  <c r="R5" i="1"/>
  <c r="R14" i="1"/>
  <c r="U24" i="1"/>
  <c r="R21" i="1"/>
  <c r="U31" i="1"/>
  <c r="G164" i="2"/>
  <c r="R25" i="1"/>
  <c r="G170" i="2"/>
  <c r="R31" i="1"/>
  <c r="R15" i="1"/>
  <c r="G158" i="2"/>
  <c r="U17" i="1" s="1"/>
  <c r="G171" i="2"/>
  <c r="U30" i="1" s="1"/>
  <c r="G161" i="2"/>
  <c r="U20" i="1" s="1"/>
  <c r="R22" i="1"/>
  <c r="R10" i="1"/>
  <c r="R11" i="1"/>
  <c r="G157" i="2"/>
  <c r="U16" i="1" s="1"/>
  <c r="R8" i="1"/>
  <c r="G181" i="2"/>
  <c r="X9" i="1" s="1"/>
  <c r="R28" i="1"/>
  <c r="R18" i="1"/>
  <c r="G167" i="2"/>
  <c r="G174" i="2"/>
  <c r="U33" i="1" s="1"/>
  <c r="G160" i="2"/>
  <c r="G177" i="2"/>
  <c r="X5" i="1" s="1"/>
  <c r="O20" i="1"/>
  <c r="R29" i="1"/>
  <c r="G148" i="2"/>
  <c r="U7" i="1" s="1"/>
  <c r="G143" i="2"/>
  <c r="R32" i="1" s="1"/>
  <c r="G135" i="2"/>
  <c r="G131" i="2"/>
  <c r="R20" i="1" s="1"/>
  <c r="O24" i="1"/>
  <c r="O7" i="1"/>
  <c r="G150" i="2"/>
  <c r="G151" i="2"/>
  <c r="G146" i="2"/>
  <c r="U5" i="1" s="1"/>
  <c r="G141" i="2"/>
  <c r="G138" i="2"/>
  <c r="R27" i="1" s="1"/>
  <c r="G134" i="2"/>
  <c r="R23" i="1" s="1"/>
  <c r="O18" i="1"/>
  <c r="G145" i="2"/>
  <c r="O27" i="1"/>
  <c r="O11" i="1"/>
  <c r="O28" i="1"/>
  <c r="G128" i="2"/>
  <c r="G123" i="2"/>
  <c r="R12" i="1" s="1"/>
  <c r="L4" i="1"/>
  <c r="O14" i="1"/>
  <c r="G110" i="2"/>
  <c r="G113" i="2"/>
  <c r="O33" i="1" s="1"/>
  <c r="G109" i="2"/>
  <c r="O29" i="1" s="1"/>
  <c r="O32" i="1"/>
  <c r="G97" i="2"/>
  <c r="O17" i="1" s="1"/>
  <c r="G93" i="2"/>
  <c r="O13" i="1" s="1"/>
  <c r="G117" i="2"/>
  <c r="R6" i="1" s="1"/>
  <c r="L18" i="1"/>
  <c r="L20" i="1"/>
  <c r="G101" i="2"/>
  <c r="O21" i="1" s="1"/>
  <c r="G106" i="2"/>
  <c r="O26" i="1" s="1"/>
  <c r="G114" i="2"/>
  <c r="R3" i="1" s="1"/>
  <c r="G118" i="2"/>
  <c r="G102" i="2"/>
  <c r="O22" i="1" s="1"/>
  <c r="L30" i="1"/>
  <c r="G99" i="2"/>
  <c r="O19" i="1" s="1"/>
  <c r="G115" i="2"/>
  <c r="R4" i="1" s="1"/>
  <c r="G103" i="2"/>
  <c r="O23" i="1" s="1"/>
  <c r="L17" i="1"/>
  <c r="I8" i="1"/>
  <c r="I31" i="1"/>
  <c r="G62" i="2"/>
  <c r="G65" i="2"/>
  <c r="L15" i="1" s="1"/>
  <c r="G76" i="2"/>
  <c r="L26" i="1" s="1"/>
  <c r="G64" i="2"/>
  <c r="L14" i="1" s="1"/>
  <c r="G92" i="2"/>
  <c r="O12" i="1" s="1"/>
  <c r="G81" i="2"/>
  <c r="L31" i="1" s="1"/>
  <c r="I25" i="1"/>
  <c r="G63" i="2"/>
  <c r="L13" i="1" s="1"/>
  <c r="G69" i="2"/>
  <c r="I28" i="1"/>
  <c r="G79" i="2"/>
  <c r="L29" i="1" s="1"/>
  <c r="G78" i="2"/>
  <c r="G86" i="2"/>
  <c r="O6" i="1" s="1"/>
  <c r="G73" i="2"/>
  <c r="L23" i="1" s="1"/>
  <c r="G85" i="2"/>
  <c r="O5" i="1" s="1"/>
  <c r="G89" i="2"/>
  <c r="O9" i="1" s="1"/>
  <c r="G83" i="2"/>
  <c r="I32" i="1"/>
  <c r="I20" i="1"/>
  <c r="I16" i="1"/>
  <c r="G82" i="2"/>
  <c r="L32" i="1" s="1"/>
  <c r="G71" i="2"/>
  <c r="L21" i="1" s="1"/>
  <c r="G66" i="2"/>
  <c r="L16" i="1" s="1"/>
  <c r="F6" i="1"/>
  <c r="I18" i="1"/>
  <c r="I29" i="1"/>
  <c r="F17" i="1"/>
  <c r="I17" i="1"/>
  <c r="F5" i="1"/>
  <c r="F4" i="1"/>
  <c r="G42" i="2"/>
  <c r="G57" i="2"/>
  <c r="L7" i="1" s="1"/>
  <c r="G45" i="2"/>
  <c r="G52" i="2"/>
  <c r="G40" i="2"/>
  <c r="F8" i="1"/>
  <c r="G58" i="2"/>
  <c r="L8" i="1" s="1"/>
  <c r="G56" i="2"/>
  <c r="L6" i="1" s="1"/>
  <c r="G53" i="2"/>
  <c r="L3" i="1" s="1"/>
  <c r="G46" i="2"/>
  <c r="I27" i="1" s="1"/>
  <c r="G41" i="2"/>
  <c r="F20" i="1"/>
  <c r="G34" i="2"/>
  <c r="C24" i="1"/>
  <c r="F13" i="1"/>
  <c r="C4" i="1"/>
  <c r="F24" i="1"/>
  <c r="C15" i="1"/>
  <c r="C17" i="1"/>
  <c r="I6" i="1"/>
  <c r="C25" i="1"/>
  <c r="C23" i="1"/>
  <c r="I13" i="1"/>
  <c r="C32" i="1"/>
  <c r="F18" i="1"/>
  <c r="C9" i="1"/>
  <c r="F28" i="1"/>
  <c r="C19" i="1"/>
  <c r="C6" i="1"/>
  <c r="C18" i="1"/>
  <c r="F27" i="1"/>
  <c r="C29" i="1"/>
  <c r="I3" i="1"/>
  <c r="C22" i="1"/>
  <c r="G21" i="2"/>
  <c r="G28" i="2"/>
  <c r="G31" i="2"/>
  <c r="G7" i="2"/>
  <c r="G30" i="2"/>
  <c r="G33" i="2"/>
  <c r="G5" i="2"/>
  <c r="C16" i="1"/>
  <c r="G10" i="2"/>
  <c r="C14" i="1"/>
  <c r="G20" i="2"/>
  <c r="G26" i="2"/>
  <c r="G3" i="2"/>
  <c r="U4" i="1" l="1"/>
  <c r="O25" i="1"/>
  <c r="U19" i="1"/>
  <c r="R9" i="1"/>
  <c r="U26" i="1"/>
  <c r="R16" i="1"/>
  <c r="AD10" i="1"/>
  <c r="X31" i="1"/>
  <c r="AD12" i="1"/>
  <c r="X33" i="1"/>
  <c r="AD5" i="1"/>
  <c r="X26" i="1"/>
  <c r="AD22" i="1"/>
  <c r="AA12" i="1"/>
  <c r="AG4" i="1"/>
  <c r="AA25" i="1"/>
  <c r="AJ10" i="1"/>
  <c r="AD31" i="1"/>
  <c r="AJ15" i="1"/>
  <c r="AG5" i="1"/>
  <c r="AD30" i="1"/>
  <c r="U3" i="1"/>
  <c r="AJ23" i="1"/>
  <c r="AJ16" i="1"/>
  <c r="AJ27" i="1"/>
  <c r="AJ22" i="1"/>
  <c r="AG12" i="1"/>
  <c r="AG7" i="1"/>
  <c r="AG17" i="1"/>
  <c r="AG23" i="1"/>
  <c r="AD17" i="1"/>
  <c r="AD20" i="1"/>
  <c r="AD28" i="1"/>
  <c r="AJ7" i="1"/>
  <c r="AG15" i="1"/>
  <c r="AD6" i="1"/>
  <c r="AD7" i="1"/>
  <c r="AD16" i="1"/>
  <c r="AA24" i="1"/>
  <c r="AA28" i="1"/>
  <c r="AA11" i="1"/>
  <c r="AD15" i="1"/>
  <c r="AA5" i="1"/>
  <c r="AA31" i="1"/>
  <c r="X13" i="1"/>
  <c r="X11" i="1"/>
  <c r="X10" i="1"/>
  <c r="X14" i="1"/>
  <c r="X17" i="1"/>
  <c r="X8" i="1"/>
  <c r="AA3" i="1"/>
  <c r="U25" i="1"/>
  <c r="U15" i="1"/>
  <c r="U9" i="1"/>
  <c r="X22" i="1"/>
  <c r="U13" i="1"/>
  <c r="U28" i="1"/>
  <c r="U14" i="1"/>
  <c r="U29" i="1"/>
  <c r="R19" i="1"/>
  <c r="U23" i="1"/>
  <c r="R13" i="1"/>
  <c r="R7" i="1"/>
  <c r="R30" i="1"/>
  <c r="R26" i="1"/>
  <c r="R17" i="1"/>
  <c r="O8" i="1"/>
  <c r="O31" i="1"/>
  <c r="U10" i="1"/>
  <c r="R24" i="1"/>
  <c r="O15" i="1"/>
  <c r="O3" i="1"/>
  <c r="O30" i="1"/>
  <c r="L24" i="1"/>
  <c r="L12" i="1"/>
  <c r="L27" i="1"/>
  <c r="L11" i="1"/>
  <c r="L9" i="1"/>
  <c r="L25" i="1"/>
  <c r="L19" i="1"/>
  <c r="I10" i="1"/>
  <c r="L28" i="1"/>
  <c r="I19" i="1"/>
  <c r="I4" i="1"/>
  <c r="I26" i="1"/>
  <c r="I24" i="1"/>
  <c r="I5" i="1"/>
  <c r="I30" i="1"/>
  <c r="I21" i="1"/>
  <c r="F9" i="1"/>
  <c r="I22" i="1"/>
  <c r="F10" i="1"/>
  <c r="I33" i="1"/>
  <c r="F21" i="1"/>
  <c r="F15" i="1"/>
  <c r="F11" i="1"/>
  <c r="I23" i="1"/>
  <c r="F26" i="1"/>
  <c r="F22" i="1"/>
  <c r="I15" i="1"/>
  <c r="F3" i="1"/>
  <c r="F25" i="1"/>
  <c r="C10" i="1"/>
  <c r="F19" i="1"/>
  <c r="I14" i="1"/>
  <c r="C33" i="1"/>
  <c r="C30" i="1"/>
  <c r="I11" i="1"/>
  <c r="F16" i="1"/>
  <c r="C7" i="1"/>
  <c r="I12" i="1"/>
  <c r="C31" i="1"/>
  <c r="C5" i="1"/>
  <c r="F14" i="1"/>
  <c r="C21" i="1"/>
  <c r="F30" i="1"/>
  <c r="C28" i="1"/>
  <c r="I9" i="1"/>
  <c r="I7" i="1"/>
  <c r="C26" i="1"/>
  <c r="F29" i="1"/>
  <c r="C20" i="1"/>
  <c r="C3" i="1"/>
  <c r="F12" i="1"/>
</calcChain>
</file>

<file path=xl/sharedStrings.xml><?xml version="1.0" encoding="utf-8"?>
<sst xmlns="http://schemas.openxmlformats.org/spreadsheetml/2006/main" count="64" uniqueCount="28">
  <si>
    <t>Meat &amp; Cheese Best before based on production date from production tag</t>
  </si>
  <si>
    <t>Produced</t>
  </si>
  <si>
    <t xml:space="preserve">Best before </t>
  </si>
  <si>
    <t>Check cheese Best before and if it is shorter than the meat, use Cheese's best before</t>
  </si>
  <si>
    <t>Jan</t>
  </si>
  <si>
    <t>JA</t>
  </si>
  <si>
    <t>Feb</t>
  </si>
  <si>
    <t>FE</t>
  </si>
  <si>
    <t>Mar</t>
  </si>
  <si>
    <t>MR</t>
  </si>
  <si>
    <t>Apr</t>
  </si>
  <si>
    <t>AL</t>
  </si>
  <si>
    <t>May</t>
  </si>
  <si>
    <t>MA</t>
  </si>
  <si>
    <t>Jun</t>
  </si>
  <si>
    <t>JN</t>
  </si>
  <si>
    <t>Jul</t>
  </si>
  <si>
    <t>JL</t>
  </si>
  <si>
    <t>Aug</t>
  </si>
  <si>
    <t>AU</t>
  </si>
  <si>
    <t>Sep</t>
  </si>
  <si>
    <t>SE</t>
  </si>
  <si>
    <t>Oct</t>
  </si>
  <si>
    <t>OC</t>
  </si>
  <si>
    <t>Nov</t>
  </si>
  <si>
    <t>NO</t>
  </si>
  <si>
    <t>Dec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</si>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</sst>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5" fontId="0" fillId="0" borderId="0" xfId="0" applyNumberFormat="1"/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horizontal="right" wrapText="1"/>
    </xf>
    <xf numFmtId="49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5" fontId="4" fillId="2" borderId="2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15" fontId="4" fillId="3" borderId="2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15" fontId="4" fillId="4" borderId="6" xfId="0" applyNumberFormat="1" applyFont="1" applyFill="1" applyBorder="1" applyAlignment="1">
      <alignment horizontal="center"/>
    </xf>
    <xf numFmtId="15" fontId="4" fillId="4" borderId="8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0" fillId="4" borderId="0" xfId="0" applyFill="1"/>
    <xf numFmtId="0" fontId="5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E1A0-A82C-4093-B5FB-8204F5AF8550}">
  <sheetPr>
    <pageSetUpPr fitToPage="1"/>
  </sheetPr>
  <dimension ref="A1:AJ377"/>
  <sheetViews>
    <sheetView tabSelected="1" topLeftCell="G1" workbookViewId="0">
      <selection activeCell="U11" sqref="U11"/>
    </sheetView>
  </sheetViews>
  <sheetFormatPr defaultRowHeight="15"/>
  <cols>
    <col min="1" max="1" width="12.28515625" bestFit="1" customWidth="1"/>
    <col min="2" max="2" width="10.5703125" hidden="1" customWidth="1"/>
    <col min="3" max="3" width="13.7109375" customWidth="1"/>
    <col min="4" max="4" width="12.7109375" style="22" bestFit="1" customWidth="1"/>
    <col min="5" max="5" width="9.5703125" hidden="1" customWidth="1"/>
    <col min="6" max="6" width="13.7109375" customWidth="1"/>
    <col min="7" max="7" width="12.85546875" style="22" bestFit="1" customWidth="1"/>
    <col min="8" max="8" width="9.5703125" hidden="1" customWidth="1"/>
    <col min="9" max="9" width="13.7109375" customWidth="1"/>
    <col min="10" max="10" width="12.42578125" style="22" bestFit="1" customWidth="1"/>
    <col min="11" max="11" width="8.7109375" hidden="1" customWidth="1"/>
    <col min="12" max="12" width="13.7109375" customWidth="1"/>
    <col min="13" max="13" width="13" style="22" customWidth="1"/>
    <col min="14" max="14" width="9.42578125" hidden="1" customWidth="1"/>
    <col min="15" max="15" width="13.7109375" customWidth="1"/>
    <col min="16" max="16" width="12.42578125" style="22" bestFit="1" customWidth="1"/>
    <col min="17" max="17" width="9.42578125" hidden="1" customWidth="1"/>
    <col min="18" max="18" width="13.7109375" customWidth="1"/>
    <col min="19" max="19" width="11.7109375" style="22" bestFit="1" customWidth="1"/>
    <col min="20" max="20" width="9.42578125" hidden="1" customWidth="1"/>
    <col min="21" max="21" width="13.7109375" customWidth="1"/>
    <col min="22" max="22" width="12.85546875" style="22" bestFit="1" customWidth="1"/>
    <col min="23" max="23" width="9.42578125" hidden="1" customWidth="1"/>
    <col min="24" max="24" width="13.7109375" customWidth="1"/>
    <col min="25" max="25" width="12.85546875" style="22" bestFit="1" customWidth="1"/>
    <col min="26" max="26" width="9.42578125" hidden="1" customWidth="1"/>
    <col min="27" max="27" width="13.7109375" customWidth="1"/>
    <col min="28" max="28" width="12.7109375" style="22" bestFit="1" customWidth="1"/>
    <col min="29" max="29" width="9.42578125" hidden="1" customWidth="1"/>
    <col min="30" max="30" width="13.7109375" customWidth="1"/>
    <col min="31" max="31" width="13" style="22" customWidth="1"/>
    <col min="32" max="32" width="1" hidden="1" customWidth="1"/>
    <col min="33" max="33" width="13.7109375" customWidth="1"/>
    <col min="34" max="34" width="13" style="22" bestFit="1" customWidth="1"/>
    <col min="35" max="35" width="9.42578125" hidden="1" customWidth="1"/>
    <col min="36" max="36" width="13.7109375" customWidth="1"/>
  </cols>
  <sheetData>
    <row r="1" spans="1:36" ht="24.75" thickBo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 t="s">
        <v>0</v>
      </c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</row>
    <row r="2" spans="1:36" ht="18.75">
      <c r="A2" s="17" t="s">
        <v>1</v>
      </c>
      <c r="B2" s="7" t="s">
        <v>2</v>
      </c>
      <c r="C2" s="8" t="s">
        <v>2</v>
      </c>
      <c r="D2" s="17" t="s">
        <v>1</v>
      </c>
      <c r="E2" s="7" t="s">
        <v>2</v>
      </c>
      <c r="F2" s="8" t="s">
        <v>2</v>
      </c>
      <c r="G2" s="17" t="s">
        <v>1</v>
      </c>
      <c r="H2" s="7" t="s">
        <v>2</v>
      </c>
      <c r="I2" s="8" t="s">
        <v>2</v>
      </c>
      <c r="J2" s="17" t="s">
        <v>1</v>
      </c>
      <c r="K2" s="7" t="s">
        <v>2</v>
      </c>
      <c r="L2" s="8" t="s">
        <v>2</v>
      </c>
      <c r="M2" s="17" t="s">
        <v>1</v>
      </c>
      <c r="N2" s="7" t="s">
        <v>2</v>
      </c>
      <c r="O2" s="8" t="s">
        <v>2</v>
      </c>
      <c r="P2" s="17" t="s">
        <v>1</v>
      </c>
      <c r="Q2" s="7" t="s">
        <v>2</v>
      </c>
      <c r="R2" s="8" t="s">
        <v>2</v>
      </c>
      <c r="S2" s="17" t="s">
        <v>1</v>
      </c>
      <c r="T2" s="9" t="s">
        <v>2</v>
      </c>
      <c r="U2" s="10" t="s">
        <v>2</v>
      </c>
      <c r="V2" s="17" t="s">
        <v>1</v>
      </c>
      <c r="W2" s="9" t="s">
        <v>2</v>
      </c>
      <c r="X2" s="10" t="s">
        <v>2</v>
      </c>
      <c r="Y2" s="17" t="s">
        <v>1</v>
      </c>
      <c r="Z2" s="9" t="s">
        <v>2</v>
      </c>
      <c r="AA2" s="10" t="s">
        <v>2</v>
      </c>
      <c r="AB2" s="17" t="s">
        <v>1</v>
      </c>
      <c r="AC2" s="9" t="s">
        <v>2</v>
      </c>
      <c r="AD2" s="10" t="s">
        <v>2</v>
      </c>
      <c r="AE2" s="17" t="s">
        <v>1</v>
      </c>
      <c r="AF2" s="9" t="s">
        <v>2</v>
      </c>
      <c r="AG2" s="10" t="s">
        <v>2</v>
      </c>
      <c r="AH2" s="17" t="s">
        <v>1</v>
      </c>
      <c r="AI2" s="9" t="s">
        <v>2</v>
      </c>
      <c r="AJ2" s="10" t="s">
        <v>2</v>
      </c>
    </row>
    <row r="3" spans="1:36" ht="18.75">
      <c r="A3" s="18">
        <v>45658</v>
      </c>
      <c r="B3" s="11">
        <f>+A3+130</f>
        <v>45788</v>
      </c>
      <c r="C3" s="12" t="str">
        <f>VLOOKUP('2025'!B3,Julian!$A$3:$G$367,7,FALSE)</f>
        <v>25MA11</v>
      </c>
      <c r="D3" s="18">
        <v>45689</v>
      </c>
      <c r="E3" s="11">
        <f>+D3+130</f>
        <v>45819</v>
      </c>
      <c r="F3" s="12" t="str">
        <f>VLOOKUP('2025'!E3,Julian!$A$3:$G$367,7,FALSE)</f>
        <v>25JN11</v>
      </c>
      <c r="G3" s="18">
        <v>45717</v>
      </c>
      <c r="H3" s="11">
        <f>+G3+130</f>
        <v>45847</v>
      </c>
      <c r="I3" s="12" t="str">
        <f>VLOOKUP('2025'!H3,Julian!$A$3:$G$367,7,FALSE)</f>
        <v>25JL09</v>
      </c>
      <c r="J3" s="18">
        <v>45748</v>
      </c>
      <c r="K3" s="11">
        <f>+J3+130</f>
        <v>45878</v>
      </c>
      <c r="L3" s="12" t="str">
        <f>VLOOKUP('2025'!K3,Julian!$A$3:$G$367,7,FALSE)</f>
        <v>25AU09</v>
      </c>
      <c r="M3" s="18">
        <v>45778</v>
      </c>
      <c r="N3" s="11">
        <f>+M3+130</f>
        <v>45908</v>
      </c>
      <c r="O3" s="12" t="str">
        <f>VLOOKUP('2025'!N3,Julian!$A$3:$G$367,7,FALSE)</f>
        <v>25SE08</v>
      </c>
      <c r="P3" s="18">
        <v>45809</v>
      </c>
      <c r="Q3" s="11">
        <f>+P3+130</f>
        <v>45939</v>
      </c>
      <c r="R3" s="12" t="str">
        <f>VLOOKUP('2025'!Q3,Julian!$A$3:$G$367,7,FALSE)</f>
        <v>25OC09</v>
      </c>
      <c r="S3" s="18">
        <v>45839</v>
      </c>
      <c r="T3" s="13">
        <f>+S3+130</f>
        <v>45969</v>
      </c>
      <c r="U3" s="14" t="str">
        <f>VLOOKUP('2025'!T3,Julian!$A$3:$G$367,7,FALSE)</f>
        <v>25NO08</v>
      </c>
      <c r="V3" s="18">
        <v>45870</v>
      </c>
      <c r="W3" s="13">
        <f>+V3+130</f>
        <v>46000</v>
      </c>
      <c r="X3" s="14" t="str">
        <f>VLOOKUP('2025'!W3,Julian!$A$3:$G$367,7,FALSE)</f>
        <v>25DE09</v>
      </c>
      <c r="Y3" s="18">
        <v>45901</v>
      </c>
      <c r="Z3" s="13">
        <f>+Y3+130</f>
        <v>46031</v>
      </c>
      <c r="AA3" s="14" t="str">
        <f>VLOOKUP('2025'!Z3,Julian!$A$3:$G$367,7,FALSE)</f>
        <v>26JA09</v>
      </c>
      <c r="AB3" s="18">
        <v>45931</v>
      </c>
      <c r="AC3" s="13">
        <f>+AB3+130</f>
        <v>46061</v>
      </c>
      <c r="AD3" s="14" t="str">
        <f>VLOOKUP('2025'!AC3,Julian!$A$3:$G$367,7,FALSE)</f>
        <v>26FE08</v>
      </c>
      <c r="AE3" s="18">
        <v>45962</v>
      </c>
      <c r="AF3" s="13">
        <f>+AE3+130</f>
        <v>46092</v>
      </c>
      <c r="AG3" s="14" t="str">
        <f>VLOOKUP('2025'!AF3,Julian!$A$3:$G$367,7,FALSE)</f>
        <v>26MR11</v>
      </c>
      <c r="AH3" s="18">
        <v>45992</v>
      </c>
      <c r="AI3" s="13">
        <f>+AH3+130</f>
        <v>46122</v>
      </c>
      <c r="AJ3" s="14" t="str">
        <f>VLOOKUP('2025'!AI3,Julian!$A$3:$G$367,7,FALSE)</f>
        <v>26AL10</v>
      </c>
    </row>
    <row r="4" spans="1:36" ht="18.75">
      <c r="A4" s="18">
        <v>45659</v>
      </c>
      <c r="B4" s="11">
        <f t="shared" ref="B4:B33" si="0">+A4+130</f>
        <v>45789</v>
      </c>
      <c r="C4" s="12" t="str">
        <f>VLOOKUP('2025'!B4,Julian!$A$3:$G$367,7,FALSE)</f>
        <v>25MA12</v>
      </c>
      <c r="D4" s="18">
        <v>45690</v>
      </c>
      <c r="E4" s="11">
        <f t="shared" ref="E4:E30" si="1">+D4+130</f>
        <v>45820</v>
      </c>
      <c r="F4" s="12" t="str">
        <f>VLOOKUP('2025'!E4,Julian!$A$3:$G$367,7,FALSE)</f>
        <v>25JN12</v>
      </c>
      <c r="G4" s="18">
        <v>45718</v>
      </c>
      <c r="H4" s="11">
        <f t="shared" ref="H4:H33" si="2">+G4+130</f>
        <v>45848</v>
      </c>
      <c r="I4" s="12" t="str">
        <f>VLOOKUP('2025'!H4,Julian!$A$3:$G$367,7,FALSE)</f>
        <v>25JL10</v>
      </c>
      <c r="J4" s="18">
        <v>45749</v>
      </c>
      <c r="K4" s="11">
        <f t="shared" ref="K4:K32" si="3">+J4+130</f>
        <v>45879</v>
      </c>
      <c r="L4" s="12" t="str">
        <f>VLOOKUP('2025'!K4,Julian!$A$3:$G$367,7,FALSE)</f>
        <v>25AU10</v>
      </c>
      <c r="M4" s="18">
        <v>45779</v>
      </c>
      <c r="N4" s="11">
        <f t="shared" ref="N4:N33" si="4">+M4+130</f>
        <v>45909</v>
      </c>
      <c r="O4" s="12" t="str">
        <f>VLOOKUP('2025'!N4,Julian!$A$3:$G$367,7,FALSE)</f>
        <v>25SE09</v>
      </c>
      <c r="P4" s="18">
        <v>45810</v>
      </c>
      <c r="Q4" s="11">
        <f t="shared" ref="Q4:Q32" si="5">+P4+130</f>
        <v>45940</v>
      </c>
      <c r="R4" s="12" t="str">
        <f>VLOOKUP('2025'!Q4,Julian!$A$3:$G$367,7,FALSE)</f>
        <v>25OC10</v>
      </c>
      <c r="S4" s="18">
        <v>45840</v>
      </c>
      <c r="T4" s="13">
        <f t="shared" ref="T4:T33" si="6">+S4+130</f>
        <v>45970</v>
      </c>
      <c r="U4" s="14" t="str">
        <f>VLOOKUP('2025'!T4,Julian!$A$3:$G$367,7,FALSE)</f>
        <v>25NO09</v>
      </c>
      <c r="V4" s="18">
        <v>45871</v>
      </c>
      <c r="W4" s="13">
        <f t="shared" ref="W4:W33" si="7">+V4+130</f>
        <v>46001</v>
      </c>
      <c r="X4" s="14" t="str">
        <f>VLOOKUP('2025'!W4,Julian!$A$3:$G$367,7,FALSE)</f>
        <v>25DE10</v>
      </c>
      <c r="Y4" s="18">
        <v>45902</v>
      </c>
      <c r="Z4" s="13">
        <f t="shared" ref="Z4:Z32" si="8">+Y4+130</f>
        <v>46032</v>
      </c>
      <c r="AA4" s="14" t="str">
        <f>VLOOKUP('2025'!Z4,Julian!$A$3:$G$367,7,FALSE)</f>
        <v>26JA10</v>
      </c>
      <c r="AB4" s="18">
        <v>45932</v>
      </c>
      <c r="AC4" s="13">
        <f t="shared" ref="AC4:AC33" si="9">+AB4+130</f>
        <v>46062</v>
      </c>
      <c r="AD4" s="14" t="str">
        <f>VLOOKUP('2025'!AC4,Julian!$A$3:$G$367,7,FALSE)</f>
        <v>26FE09</v>
      </c>
      <c r="AE4" s="18">
        <v>45963</v>
      </c>
      <c r="AF4" s="13">
        <f t="shared" ref="AF4:AF32" si="10">+AE4+130</f>
        <v>46093</v>
      </c>
      <c r="AG4" s="14" t="str">
        <f>VLOOKUP('2025'!AF4,Julian!$A$3:$G$367,7,FALSE)</f>
        <v>26MR12</v>
      </c>
      <c r="AH4" s="18">
        <v>45993</v>
      </c>
      <c r="AI4" s="13">
        <f t="shared" ref="AI4:AI33" si="11">+AH4+130</f>
        <v>46123</v>
      </c>
      <c r="AJ4" s="14" t="str">
        <f>VLOOKUP('2025'!AI4,Julian!$A$3:$G$367,7,FALSE)</f>
        <v>26AL11</v>
      </c>
    </row>
    <row r="5" spans="1:36" ht="18.75">
      <c r="A5" s="18">
        <v>45660</v>
      </c>
      <c r="B5" s="11">
        <f t="shared" si="0"/>
        <v>45790</v>
      </c>
      <c r="C5" s="12" t="str">
        <f>VLOOKUP('2025'!B5,Julian!$A$3:$G$367,7,FALSE)</f>
        <v>25MA13</v>
      </c>
      <c r="D5" s="18">
        <v>45691</v>
      </c>
      <c r="E5" s="11">
        <f t="shared" si="1"/>
        <v>45821</v>
      </c>
      <c r="F5" s="12" t="str">
        <f>VLOOKUP('2025'!E5,Julian!$A$3:$G$367,7,FALSE)</f>
        <v>25JN13</v>
      </c>
      <c r="G5" s="18">
        <v>45719</v>
      </c>
      <c r="H5" s="11">
        <f t="shared" si="2"/>
        <v>45849</v>
      </c>
      <c r="I5" s="12" t="str">
        <f>VLOOKUP('2025'!H5,Julian!$A$3:$G$367,7,FALSE)</f>
        <v>25JL11</v>
      </c>
      <c r="J5" s="18">
        <v>45750</v>
      </c>
      <c r="K5" s="11">
        <f t="shared" si="3"/>
        <v>45880</v>
      </c>
      <c r="L5" s="12" t="str">
        <f>VLOOKUP('2025'!K5,Julian!$A$3:$G$367,7,FALSE)</f>
        <v>25AU11</v>
      </c>
      <c r="M5" s="18">
        <v>45780</v>
      </c>
      <c r="N5" s="11">
        <f t="shared" si="4"/>
        <v>45910</v>
      </c>
      <c r="O5" s="12" t="str">
        <f>VLOOKUP('2025'!N5,Julian!$A$3:$G$367,7,FALSE)</f>
        <v>25SE10</v>
      </c>
      <c r="P5" s="18">
        <v>45811</v>
      </c>
      <c r="Q5" s="11">
        <f t="shared" si="5"/>
        <v>45941</v>
      </c>
      <c r="R5" s="12" t="str">
        <f>VLOOKUP('2025'!Q5,Julian!$A$3:$G$367,7,FALSE)</f>
        <v>25OC11</v>
      </c>
      <c r="S5" s="18">
        <v>45841</v>
      </c>
      <c r="T5" s="13">
        <f t="shared" si="6"/>
        <v>45971</v>
      </c>
      <c r="U5" s="14" t="str">
        <f>VLOOKUP('2025'!T5,Julian!$A$3:$G$367,7,FALSE)</f>
        <v>25NO10</v>
      </c>
      <c r="V5" s="18">
        <v>45872</v>
      </c>
      <c r="W5" s="13">
        <f t="shared" si="7"/>
        <v>46002</v>
      </c>
      <c r="X5" s="14" t="str">
        <f>VLOOKUP('2025'!W5,Julian!$A$3:$G$367,7,FALSE)</f>
        <v>25DE11</v>
      </c>
      <c r="Y5" s="18">
        <v>45903</v>
      </c>
      <c r="Z5" s="13">
        <f t="shared" si="8"/>
        <v>46033</v>
      </c>
      <c r="AA5" s="14" t="str">
        <f>VLOOKUP('2025'!Z5,Julian!$A$3:$G$367,7,FALSE)</f>
        <v>26JA11</v>
      </c>
      <c r="AB5" s="18">
        <v>45933</v>
      </c>
      <c r="AC5" s="13">
        <f t="shared" si="9"/>
        <v>46063</v>
      </c>
      <c r="AD5" s="14" t="str">
        <f>VLOOKUP('2025'!AC5,Julian!$A$3:$G$367,7,FALSE)</f>
        <v>26FE10</v>
      </c>
      <c r="AE5" s="18">
        <v>45964</v>
      </c>
      <c r="AF5" s="13">
        <f t="shared" si="10"/>
        <v>46094</v>
      </c>
      <c r="AG5" s="14" t="str">
        <f>VLOOKUP('2025'!AF5,Julian!$A$3:$G$367,7,FALSE)</f>
        <v>26MR13</v>
      </c>
      <c r="AH5" s="18">
        <v>45994</v>
      </c>
      <c r="AI5" s="13">
        <f t="shared" si="11"/>
        <v>46124</v>
      </c>
      <c r="AJ5" s="14" t="str">
        <f>VLOOKUP('2025'!AI5,Julian!$A$3:$G$367,7,FALSE)</f>
        <v>26AL12</v>
      </c>
    </row>
    <row r="6" spans="1:36" ht="18.75">
      <c r="A6" s="18">
        <v>45661</v>
      </c>
      <c r="B6" s="11">
        <f t="shared" si="0"/>
        <v>45791</v>
      </c>
      <c r="C6" s="12" t="str">
        <f>VLOOKUP('2025'!B6,Julian!$A$3:$G$367,7,FALSE)</f>
        <v>25MA14</v>
      </c>
      <c r="D6" s="18">
        <v>45692</v>
      </c>
      <c r="E6" s="11">
        <f t="shared" si="1"/>
        <v>45822</v>
      </c>
      <c r="F6" s="12" t="str">
        <f>VLOOKUP('2025'!E6,Julian!$A$3:$G$367,7,FALSE)</f>
        <v>25JN14</v>
      </c>
      <c r="G6" s="18">
        <v>45720</v>
      </c>
      <c r="H6" s="11">
        <f t="shared" si="2"/>
        <v>45850</v>
      </c>
      <c r="I6" s="12" t="str">
        <f>VLOOKUP('2025'!H6,Julian!$A$3:$G$367,7,FALSE)</f>
        <v>25JL12</v>
      </c>
      <c r="J6" s="18">
        <v>45751</v>
      </c>
      <c r="K6" s="11">
        <f t="shared" si="3"/>
        <v>45881</v>
      </c>
      <c r="L6" s="12" t="str">
        <f>VLOOKUP('2025'!K6,Julian!$A$3:$G$367,7,FALSE)</f>
        <v>25AU12</v>
      </c>
      <c r="M6" s="18">
        <v>45781</v>
      </c>
      <c r="N6" s="11">
        <f t="shared" si="4"/>
        <v>45911</v>
      </c>
      <c r="O6" s="12" t="str">
        <f>VLOOKUP('2025'!N6,Julian!$A$3:$G$367,7,FALSE)</f>
        <v>25SE11</v>
      </c>
      <c r="P6" s="18">
        <v>45812</v>
      </c>
      <c r="Q6" s="11">
        <f t="shared" si="5"/>
        <v>45942</v>
      </c>
      <c r="R6" s="12" t="str">
        <f>VLOOKUP('2025'!Q6,Julian!$A$3:$G$367,7,FALSE)</f>
        <v>25OC12</v>
      </c>
      <c r="S6" s="18">
        <v>45842</v>
      </c>
      <c r="T6" s="13">
        <f t="shared" si="6"/>
        <v>45972</v>
      </c>
      <c r="U6" s="14" t="str">
        <f>VLOOKUP('2025'!T6,Julian!$A$3:$G$367,7,FALSE)</f>
        <v>25NO11</v>
      </c>
      <c r="V6" s="18">
        <v>45873</v>
      </c>
      <c r="W6" s="13">
        <f t="shared" si="7"/>
        <v>46003</v>
      </c>
      <c r="X6" s="14" t="str">
        <f>VLOOKUP('2025'!W6,Julian!$A$3:$G$367,7,FALSE)</f>
        <v>25DE12</v>
      </c>
      <c r="Y6" s="18">
        <v>45904</v>
      </c>
      <c r="Z6" s="13">
        <f t="shared" si="8"/>
        <v>46034</v>
      </c>
      <c r="AA6" s="14" t="str">
        <f>VLOOKUP('2025'!Z6,Julian!$A$3:$G$367,7,FALSE)</f>
        <v>26JA12</v>
      </c>
      <c r="AB6" s="18">
        <v>45934</v>
      </c>
      <c r="AC6" s="13">
        <f t="shared" si="9"/>
        <v>46064</v>
      </c>
      <c r="AD6" s="14" t="str">
        <f>VLOOKUP('2025'!AC6,Julian!$A$3:$G$367,7,FALSE)</f>
        <v>26FE11</v>
      </c>
      <c r="AE6" s="18">
        <v>45965</v>
      </c>
      <c r="AF6" s="13">
        <f t="shared" si="10"/>
        <v>46095</v>
      </c>
      <c r="AG6" s="14" t="str">
        <f>VLOOKUP('2025'!AF6,Julian!$A$3:$G$367,7,FALSE)</f>
        <v>26MR14</v>
      </c>
      <c r="AH6" s="18">
        <v>45995</v>
      </c>
      <c r="AI6" s="13">
        <f t="shared" si="11"/>
        <v>46125</v>
      </c>
      <c r="AJ6" s="14" t="str">
        <f>VLOOKUP('2025'!AI6,Julian!$A$3:$G$367,7,FALSE)</f>
        <v>26AL13</v>
      </c>
    </row>
    <row r="7" spans="1:36" ht="18.75">
      <c r="A7" s="18">
        <v>45662</v>
      </c>
      <c r="B7" s="11">
        <f t="shared" si="0"/>
        <v>45792</v>
      </c>
      <c r="C7" s="12" t="str">
        <f>VLOOKUP('2025'!B7,Julian!$A$3:$G$367,7,FALSE)</f>
        <v>25MA15</v>
      </c>
      <c r="D7" s="18">
        <v>45693</v>
      </c>
      <c r="E7" s="11">
        <f t="shared" si="1"/>
        <v>45823</v>
      </c>
      <c r="F7" s="12" t="str">
        <f>VLOOKUP('2025'!E7,Julian!$A$3:$G$367,7,FALSE)</f>
        <v>25JN15</v>
      </c>
      <c r="G7" s="18">
        <v>45721</v>
      </c>
      <c r="H7" s="11">
        <f t="shared" si="2"/>
        <v>45851</v>
      </c>
      <c r="I7" s="12" t="str">
        <f>VLOOKUP('2025'!H7,Julian!$A$3:$G$367,7,FALSE)</f>
        <v>25JL13</v>
      </c>
      <c r="J7" s="18">
        <v>45752</v>
      </c>
      <c r="K7" s="11">
        <f t="shared" si="3"/>
        <v>45882</v>
      </c>
      <c r="L7" s="12" t="str">
        <f>VLOOKUP('2025'!K7,Julian!$A$3:$G$367,7,FALSE)</f>
        <v>25AU13</v>
      </c>
      <c r="M7" s="18">
        <v>45782</v>
      </c>
      <c r="N7" s="11">
        <f t="shared" si="4"/>
        <v>45912</v>
      </c>
      <c r="O7" s="12" t="str">
        <f>VLOOKUP('2025'!N7,Julian!$A$3:$G$367,7,FALSE)</f>
        <v>25SE12</v>
      </c>
      <c r="P7" s="18">
        <v>45813</v>
      </c>
      <c r="Q7" s="11">
        <f t="shared" si="5"/>
        <v>45943</v>
      </c>
      <c r="R7" s="12" t="str">
        <f>VLOOKUP('2025'!Q7,Julian!$A$3:$G$367,7,FALSE)</f>
        <v>25OC13</v>
      </c>
      <c r="S7" s="18">
        <v>45843</v>
      </c>
      <c r="T7" s="13">
        <f t="shared" si="6"/>
        <v>45973</v>
      </c>
      <c r="U7" s="14" t="str">
        <f>VLOOKUP('2025'!T7,Julian!$A$3:$G$367,7,FALSE)</f>
        <v>25NO12</v>
      </c>
      <c r="V7" s="18">
        <v>45874</v>
      </c>
      <c r="W7" s="13">
        <f t="shared" si="7"/>
        <v>46004</v>
      </c>
      <c r="X7" s="14" t="str">
        <f>VLOOKUP('2025'!W7,Julian!$A$3:$G$367,7,FALSE)</f>
        <v>25DE13</v>
      </c>
      <c r="Y7" s="18">
        <v>45905</v>
      </c>
      <c r="Z7" s="13">
        <f t="shared" si="8"/>
        <v>46035</v>
      </c>
      <c r="AA7" s="14" t="str">
        <f>VLOOKUP('2025'!Z7,Julian!$A$3:$G$367,7,FALSE)</f>
        <v>26JA13</v>
      </c>
      <c r="AB7" s="18">
        <v>45935</v>
      </c>
      <c r="AC7" s="13">
        <f t="shared" si="9"/>
        <v>46065</v>
      </c>
      <c r="AD7" s="14" t="str">
        <f>VLOOKUP('2025'!AC7,Julian!$A$3:$G$367,7,FALSE)</f>
        <v>26FE12</v>
      </c>
      <c r="AE7" s="18">
        <v>45966</v>
      </c>
      <c r="AF7" s="13">
        <f t="shared" si="10"/>
        <v>46096</v>
      </c>
      <c r="AG7" s="14" t="str">
        <f>VLOOKUP('2025'!AF7,Julian!$A$3:$G$367,7,FALSE)</f>
        <v>26MR15</v>
      </c>
      <c r="AH7" s="18">
        <v>45996</v>
      </c>
      <c r="AI7" s="13">
        <f t="shared" si="11"/>
        <v>46126</v>
      </c>
      <c r="AJ7" s="14" t="str">
        <f>VLOOKUP('2025'!AI7,Julian!$A$3:$G$367,7,FALSE)</f>
        <v>26AL14</v>
      </c>
    </row>
    <row r="8" spans="1:36" ht="18.75">
      <c r="A8" s="18">
        <v>45663</v>
      </c>
      <c r="B8" s="11">
        <f t="shared" si="0"/>
        <v>45793</v>
      </c>
      <c r="C8" s="12" t="str">
        <f>VLOOKUP('2025'!B8,Julian!$A$3:$G$367,7,FALSE)</f>
        <v>25MA16</v>
      </c>
      <c r="D8" s="18">
        <v>45694</v>
      </c>
      <c r="E8" s="11">
        <f t="shared" si="1"/>
        <v>45824</v>
      </c>
      <c r="F8" s="12" t="str">
        <f>VLOOKUP('2025'!E8,Julian!$A$3:$G$367,7,FALSE)</f>
        <v>25JN16</v>
      </c>
      <c r="G8" s="18">
        <v>45722</v>
      </c>
      <c r="H8" s="11">
        <f t="shared" si="2"/>
        <v>45852</v>
      </c>
      <c r="I8" s="12" t="str">
        <f>VLOOKUP('2025'!H8,Julian!$A$3:$G$367,7,FALSE)</f>
        <v>25JL14</v>
      </c>
      <c r="J8" s="18">
        <v>45753</v>
      </c>
      <c r="K8" s="11">
        <f t="shared" si="3"/>
        <v>45883</v>
      </c>
      <c r="L8" s="12" t="str">
        <f>VLOOKUP('2025'!K8,Julian!$A$3:$G$367,7,FALSE)</f>
        <v>25AU14</v>
      </c>
      <c r="M8" s="18">
        <v>45783</v>
      </c>
      <c r="N8" s="11">
        <f t="shared" si="4"/>
        <v>45913</v>
      </c>
      <c r="O8" s="12" t="str">
        <f>VLOOKUP('2025'!N8,Julian!$A$3:$G$367,7,FALSE)</f>
        <v>25SE13</v>
      </c>
      <c r="P8" s="18">
        <v>45814</v>
      </c>
      <c r="Q8" s="11">
        <f t="shared" si="5"/>
        <v>45944</v>
      </c>
      <c r="R8" s="12" t="str">
        <f>VLOOKUP('2025'!Q8,Julian!$A$3:$G$367,7,FALSE)</f>
        <v>25OC14</v>
      </c>
      <c r="S8" s="18">
        <v>45844</v>
      </c>
      <c r="T8" s="13">
        <f t="shared" si="6"/>
        <v>45974</v>
      </c>
      <c r="U8" s="14" t="str">
        <f>VLOOKUP('2025'!T8,Julian!$A$3:$G$367,7,FALSE)</f>
        <v>25NO13</v>
      </c>
      <c r="V8" s="18">
        <v>45875</v>
      </c>
      <c r="W8" s="13">
        <f t="shared" si="7"/>
        <v>46005</v>
      </c>
      <c r="X8" s="14" t="str">
        <f>VLOOKUP('2025'!W8,Julian!$A$3:$G$367,7,FALSE)</f>
        <v>25DE14</v>
      </c>
      <c r="Y8" s="18">
        <v>45906</v>
      </c>
      <c r="Z8" s="13">
        <f t="shared" si="8"/>
        <v>46036</v>
      </c>
      <c r="AA8" s="14" t="str">
        <f>VLOOKUP('2025'!Z8,Julian!$A$3:$G$367,7,FALSE)</f>
        <v>26JA14</v>
      </c>
      <c r="AB8" s="18">
        <v>45936</v>
      </c>
      <c r="AC8" s="13">
        <f t="shared" si="9"/>
        <v>46066</v>
      </c>
      <c r="AD8" s="14" t="str">
        <f>VLOOKUP('2025'!AC8,Julian!$A$3:$G$367,7,FALSE)</f>
        <v>26FE13</v>
      </c>
      <c r="AE8" s="18">
        <v>45967</v>
      </c>
      <c r="AF8" s="13">
        <f t="shared" si="10"/>
        <v>46097</v>
      </c>
      <c r="AG8" s="14" t="str">
        <f>VLOOKUP('2025'!AF8,Julian!$A$3:$G$367,7,FALSE)</f>
        <v>26MR16</v>
      </c>
      <c r="AH8" s="18">
        <v>45997</v>
      </c>
      <c r="AI8" s="13">
        <f t="shared" si="11"/>
        <v>46127</v>
      </c>
      <c r="AJ8" s="14" t="str">
        <f>VLOOKUP('2025'!AI8,Julian!$A$3:$G$367,7,FALSE)</f>
        <v>26AL15</v>
      </c>
    </row>
    <row r="9" spans="1:36" ht="18.75">
      <c r="A9" s="18">
        <v>45664</v>
      </c>
      <c r="B9" s="11">
        <f t="shared" si="0"/>
        <v>45794</v>
      </c>
      <c r="C9" s="12" t="str">
        <f>VLOOKUP('2025'!B9,Julian!$A$3:$G$367,7,FALSE)</f>
        <v>25MA17</v>
      </c>
      <c r="D9" s="18">
        <v>45695</v>
      </c>
      <c r="E9" s="11">
        <f t="shared" si="1"/>
        <v>45825</v>
      </c>
      <c r="F9" s="12" t="str">
        <f>VLOOKUP('2025'!E9,Julian!$A$3:$G$367,7,FALSE)</f>
        <v>25JN17</v>
      </c>
      <c r="G9" s="18">
        <v>45723</v>
      </c>
      <c r="H9" s="11">
        <f t="shared" si="2"/>
        <v>45853</v>
      </c>
      <c r="I9" s="12" t="str">
        <f>VLOOKUP('2025'!H9,Julian!$A$3:$G$367,7,FALSE)</f>
        <v>25JL15</v>
      </c>
      <c r="J9" s="18">
        <v>45754</v>
      </c>
      <c r="K9" s="11">
        <f t="shared" si="3"/>
        <v>45884</v>
      </c>
      <c r="L9" s="12" t="str">
        <f>VLOOKUP('2025'!K9,Julian!$A$3:$G$367,7,FALSE)</f>
        <v>25AU15</v>
      </c>
      <c r="M9" s="18">
        <v>45784</v>
      </c>
      <c r="N9" s="11">
        <f t="shared" si="4"/>
        <v>45914</v>
      </c>
      <c r="O9" s="12" t="str">
        <f>VLOOKUP('2025'!N9,Julian!$A$3:$G$367,7,FALSE)</f>
        <v>25SE14</v>
      </c>
      <c r="P9" s="18">
        <v>45815</v>
      </c>
      <c r="Q9" s="11">
        <f t="shared" si="5"/>
        <v>45945</v>
      </c>
      <c r="R9" s="12" t="str">
        <f>VLOOKUP('2025'!Q9,Julian!$A$3:$G$367,7,FALSE)</f>
        <v>25OC15</v>
      </c>
      <c r="S9" s="18">
        <v>45845</v>
      </c>
      <c r="T9" s="13">
        <f t="shared" si="6"/>
        <v>45975</v>
      </c>
      <c r="U9" s="14" t="str">
        <f>VLOOKUP('2025'!T9,Julian!$A$3:$G$367,7,FALSE)</f>
        <v>25NO14</v>
      </c>
      <c r="V9" s="18">
        <v>45876</v>
      </c>
      <c r="W9" s="13">
        <f t="shared" si="7"/>
        <v>46006</v>
      </c>
      <c r="X9" s="14" t="str">
        <f>VLOOKUP('2025'!W9,Julian!$A$3:$G$367,7,FALSE)</f>
        <v>25DE15</v>
      </c>
      <c r="Y9" s="18">
        <v>45907</v>
      </c>
      <c r="Z9" s="13">
        <f t="shared" si="8"/>
        <v>46037</v>
      </c>
      <c r="AA9" s="14" t="str">
        <f>VLOOKUP('2025'!Z9,Julian!$A$3:$G$367,7,FALSE)</f>
        <v>26JA15</v>
      </c>
      <c r="AB9" s="18">
        <v>45937</v>
      </c>
      <c r="AC9" s="13">
        <f t="shared" si="9"/>
        <v>46067</v>
      </c>
      <c r="AD9" s="14" t="str">
        <f>VLOOKUP('2025'!AC9,Julian!$A$3:$G$367,7,FALSE)</f>
        <v>26FE14</v>
      </c>
      <c r="AE9" s="18">
        <v>45968</v>
      </c>
      <c r="AF9" s="13">
        <f t="shared" si="10"/>
        <v>46098</v>
      </c>
      <c r="AG9" s="14" t="str">
        <f>VLOOKUP('2025'!AF9,Julian!$A$3:$G$367,7,FALSE)</f>
        <v>26MR17</v>
      </c>
      <c r="AH9" s="18">
        <v>45998</v>
      </c>
      <c r="AI9" s="13">
        <f t="shared" si="11"/>
        <v>46128</v>
      </c>
      <c r="AJ9" s="14" t="str">
        <f>VLOOKUP('2025'!AI9,Julian!$A$3:$G$367,7,FALSE)</f>
        <v>26AL16</v>
      </c>
    </row>
    <row r="10" spans="1:36" ht="18.75">
      <c r="A10" s="18">
        <v>45665</v>
      </c>
      <c r="B10" s="11">
        <f t="shared" si="0"/>
        <v>45795</v>
      </c>
      <c r="C10" s="12" t="str">
        <f>VLOOKUP('2025'!B10,Julian!$A$3:$G$367,7,FALSE)</f>
        <v>25MA18</v>
      </c>
      <c r="D10" s="18">
        <v>45696</v>
      </c>
      <c r="E10" s="11">
        <f t="shared" si="1"/>
        <v>45826</v>
      </c>
      <c r="F10" s="12" t="str">
        <f>VLOOKUP('2025'!E10,Julian!$A$3:$G$367,7,FALSE)</f>
        <v>25JN18</v>
      </c>
      <c r="G10" s="18">
        <v>45724</v>
      </c>
      <c r="H10" s="11">
        <f t="shared" si="2"/>
        <v>45854</v>
      </c>
      <c r="I10" s="12" t="str">
        <f>VLOOKUP('2025'!H10,Julian!$A$3:$G$367,7,FALSE)</f>
        <v>25JL16</v>
      </c>
      <c r="J10" s="18">
        <v>45755</v>
      </c>
      <c r="K10" s="11">
        <f t="shared" si="3"/>
        <v>45885</v>
      </c>
      <c r="L10" s="12" t="str">
        <f>VLOOKUP('2025'!K10,Julian!$A$3:$G$367,7,FALSE)</f>
        <v>25AU16</v>
      </c>
      <c r="M10" s="18">
        <v>45785</v>
      </c>
      <c r="N10" s="11">
        <f t="shared" si="4"/>
        <v>45915</v>
      </c>
      <c r="O10" s="12" t="str">
        <f>VLOOKUP('2025'!N10,Julian!$A$3:$G$367,7,FALSE)</f>
        <v>25SE15</v>
      </c>
      <c r="P10" s="18">
        <v>45816</v>
      </c>
      <c r="Q10" s="11">
        <f t="shared" si="5"/>
        <v>45946</v>
      </c>
      <c r="R10" s="12" t="str">
        <f>VLOOKUP('2025'!Q10,Julian!$A$3:$G$367,7,FALSE)</f>
        <v>25OC16</v>
      </c>
      <c r="S10" s="18">
        <v>45846</v>
      </c>
      <c r="T10" s="13">
        <f t="shared" si="6"/>
        <v>45976</v>
      </c>
      <c r="U10" s="14" t="str">
        <f>VLOOKUP('2025'!T10,Julian!$A$3:$G$367,7,FALSE)</f>
        <v>25NO15</v>
      </c>
      <c r="V10" s="18">
        <v>45877</v>
      </c>
      <c r="W10" s="13">
        <f t="shared" si="7"/>
        <v>46007</v>
      </c>
      <c r="X10" s="14" t="str">
        <f>VLOOKUP('2025'!W10,Julian!$A$3:$G$367,7,FALSE)</f>
        <v>25DE16</v>
      </c>
      <c r="Y10" s="18">
        <v>45908</v>
      </c>
      <c r="Z10" s="13">
        <f t="shared" si="8"/>
        <v>46038</v>
      </c>
      <c r="AA10" s="14" t="str">
        <f>VLOOKUP('2025'!Z10,Julian!$A$3:$G$367,7,FALSE)</f>
        <v>26JA16</v>
      </c>
      <c r="AB10" s="18">
        <v>45938</v>
      </c>
      <c r="AC10" s="13">
        <f t="shared" si="9"/>
        <v>46068</v>
      </c>
      <c r="AD10" s="14" t="str">
        <f>VLOOKUP('2025'!AC10,Julian!$A$3:$G$367,7,FALSE)</f>
        <v>26FE15</v>
      </c>
      <c r="AE10" s="18">
        <v>45969</v>
      </c>
      <c r="AF10" s="13">
        <f t="shared" si="10"/>
        <v>46099</v>
      </c>
      <c r="AG10" s="14" t="str">
        <f>VLOOKUP('2025'!AF10,Julian!$A$3:$G$367,7,FALSE)</f>
        <v>26MR18</v>
      </c>
      <c r="AH10" s="18">
        <v>45999</v>
      </c>
      <c r="AI10" s="13">
        <f t="shared" si="11"/>
        <v>46129</v>
      </c>
      <c r="AJ10" s="14" t="str">
        <f>VLOOKUP('2025'!AI10,Julian!$A$3:$G$367,7,FALSE)</f>
        <v>26AL17</v>
      </c>
    </row>
    <row r="11" spans="1:36" ht="18.75">
      <c r="A11" s="18">
        <v>45666</v>
      </c>
      <c r="B11" s="11">
        <f t="shared" si="0"/>
        <v>45796</v>
      </c>
      <c r="C11" s="12" t="str">
        <f>VLOOKUP('2025'!B11,Julian!$A$3:$G$367,7,FALSE)</f>
        <v>25MA19</v>
      </c>
      <c r="D11" s="18">
        <v>45697</v>
      </c>
      <c r="E11" s="11">
        <f t="shared" si="1"/>
        <v>45827</v>
      </c>
      <c r="F11" s="12" t="str">
        <f>VLOOKUP('2025'!E11,Julian!$A$3:$G$367,7,FALSE)</f>
        <v>25JN19</v>
      </c>
      <c r="G11" s="18">
        <v>45725</v>
      </c>
      <c r="H11" s="11">
        <f t="shared" si="2"/>
        <v>45855</v>
      </c>
      <c r="I11" s="12" t="str">
        <f>VLOOKUP('2025'!H11,Julian!$A$3:$G$367,7,FALSE)</f>
        <v>25JL17</v>
      </c>
      <c r="J11" s="18">
        <v>45756</v>
      </c>
      <c r="K11" s="11">
        <f t="shared" si="3"/>
        <v>45886</v>
      </c>
      <c r="L11" s="12" t="str">
        <f>VLOOKUP('2025'!K11,Julian!$A$3:$G$367,7,FALSE)</f>
        <v>25AU17</v>
      </c>
      <c r="M11" s="18">
        <v>45786</v>
      </c>
      <c r="N11" s="11">
        <f t="shared" si="4"/>
        <v>45916</v>
      </c>
      <c r="O11" s="12" t="str">
        <f>VLOOKUP('2025'!N11,Julian!$A$3:$G$367,7,FALSE)</f>
        <v>25SE16</v>
      </c>
      <c r="P11" s="18">
        <v>45817</v>
      </c>
      <c r="Q11" s="11">
        <f t="shared" si="5"/>
        <v>45947</v>
      </c>
      <c r="R11" s="12" t="str">
        <f>VLOOKUP('2025'!Q11,Julian!$A$3:$G$367,7,FALSE)</f>
        <v>25OC17</v>
      </c>
      <c r="S11" s="18">
        <v>45847</v>
      </c>
      <c r="T11" s="13">
        <f t="shared" si="6"/>
        <v>45977</v>
      </c>
      <c r="U11" s="14" t="str">
        <f>VLOOKUP('2025'!T11,Julian!$A$3:$G$367,7,FALSE)</f>
        <v>25NO16</v>
      </c>
      <c r="V11" s="18">
        <v>45878</v>
      </c>
      <c r="W11" s="13">
        <f t="shared" si="7"/>
        <v>46008</v>
      </c>
      <c r="X11" s="14" t="str">
        <f>VLOOKUP('2025'!W11,Julian!$A$3:$G$367,7,FALSE)</f>
        <v>25DE17</v>
      </c>
      <c r="Y11" s="18">
        <v>45909</v>
      </c>
      <c r="Z11" s="13">
        <f t="shared" si="8"/>
        <v>46039</v>
      </c>
      <c r="AA11" s="14" t="str">
        <f>VLOOKUP('2025'!Z11,Julian!$A$3:$G$367,7,FALSE)</f>
        <v>26JA17</v>
      </c>
      <c r="AB11" s="18">
        <v>45939</v>
      </c>
      <c r="AC11" s="13">
        <f t="shared" si="9"/>
        <v>46069</v>
      </c>
      <c r="AD11" s="14" t="str">
        <f>VLOOKUP('2025'!AC11,Julian!$A$3:$G$367,7,FALSE)</f>
        <v>26FE16</v>
      </c>
      <c r="AE11" s="18">
        <v>45970</v>
      </c>
      <c r="AF11" s="13">
        <f t="shared" si="10"/>
        <v>46100</v>
      </c>
      <c r="AG11" s="14" t="str">
        <f>VLOOKUP('2025'!AF11,Julian!$A$3:$G$367,7,FALSE)</f>
        <v>26MR19</v>
      </c>
      <c r="AH11" s="18">
        <v>46000</v>
      </c>
      <c r="AI11" s="13">
        <f t="shared" si="11"/>
        <v>46130</v>
      </c>
      <c r="AJ11" s="14" t="str">
        <f>VLOOKUP('2025'!AI11,Julian!$A$3:$G$367,7,FALSE)</f>
        <v>26AL18</v>
      </c>
    </row>
    <row r="12" spans="1:36" ht="18.75">
      <c r="A12" s="18">
        <v>45667</v>
      </c>
      <c r="B12" s="11">
        <f t="shared" si="0"/>
        <v>45797</v>
      </c>
      <c r="C12" s="12" t="str">
        <f>VLOOKUP('2025'!B12,Julian!$A$3:$G$367,7,FALSE)</f>
        <v>25MA20</v>
      </c>
      <c r="D12" s="18">
        <v>45698</v>
      </c>
      <c r="E12" s="11">
        <f t="shared" si="1"/>
        <v>45828</v>
      </c>
      <c r="F12" s="12" t="str">
        <f>VLOOKUP('2025'!E12,Julian!$A$3:$G$367,7,FALSE)</f>
        <v>25JN20</v>
      </c>
      <c r="G12" s="18">
        <v>45726</v>
      </c>
      <c r="H12" s="11">
        <f t="shared" si="2"/>
        <v>45856</v>
      </c>
      <c r="I12" s="12" t="str">
        <f>VLOOKUP('2025'!H12,Julian!$A$3:$G$367,7,FALSE)</f>
        <v>25JL18</v>
      </c>
      <c r="J12" s="18">
        <v>45757</v>
      </c>
      <c r="K12" s="11">
        <f t="shared" si="3"/>
        <v>45887</v>
      </c>
      <c r="L12" s="12" t="str">
        <f>VLOOKUP('2025'!K12,Julian!$A$3:$G$367,7,FALSE)</f>
        <v>25AU18</v>
      </c>
      <c r="M12" s="18">
        <v>45787</v>
      </c>
      <c r="N12" s="11">
        <f t="shared" si="4"/>
        <v>45917</v>
      </c>
      <c r="O12" s="12" t="str">
        <f>VLOOKUP('2025'!N12,Julian!$A$3:$G$367,7,FALSE)</f>
        <v>25SE17</v>
      </c>
      <c r="P12" s="18">
        <v>45818</v>
      </c>
      <c r="Q12" s="11">
        <f t="shared" si="5"/>
        <v>45948</v>
      </c>
      <c r="R12" s="12" t="str">
        <f>VLOOKUP('2025'!Q12,Julian!$A$3:$G$367,7,FALSE)</f>
        <v>25OC18</v>
      </c>
      <c r="S12" s="18">
        <v>45848</v>
      </c>
      <c r="T12" s="13">
        <f t="shared" si="6"/>
        <v>45978</v>
      </c>
      <c r="U12" s="14" t="str">
        <f>VLOOKUP('2025'!T12,Julian!$A$3:$G$367,7,FALSE)</f>
        <v>25NO17</v>
      </c>
      <c r="V12" s="18">
        <v>45879</v>
      </c>
      <c r="W12" s="13">
        <f t="shared" si="7"/>
        <v>46009</v>
      </c>
      <c r="X12" s="14" t="str">
        <f>VLOOKUP('2025'!W12,Julian!$A$3:$G$367,7,FALSE)</f>
        <v>25DE18</v>
      </c>
      <c r="Y12" s="18">
        <v>45910</v>
      </c>
      <c r="Z12" s="13">
        <f t="shared" si="8"/>
        <v>46040</v>
      </c>
      <c r="AA12" s="14" t="str">
        <f>VLOOKUP('2025'!Z12,Julian!$A$3:$G$367,7,FALSE)</f>
        <v>26JA18</v>
      </c>
      <c r="AB12" s="18">
        <v>45940</v>
      </c>
      <c r="AC12" s="13">
        <f t="shared" si="9"/>
        <v>46070</v>
      </c>
      <c r="AD12" s="14" t="str">
        <f>VLOOKUP('2025'!AC12,Julian!$A$3:$G$367,7,FALSE)</f>
        <v>26FE17</v>
      </c>
      <c r="AE12" s="18">
        <v>45971</v>
      </c>
      <c r="AF12" s="13">
        <f t="shared" si="10"/>
        <v>46101</v>
      </c>
      <c r="AG12" s="14" t="str">
        <f>VLOOKUP('2025'!AF12,Julian!$A$3:$G$367,7,FALSE)</f>
        <v>26MR20</v>
      </c>
      <c r="AH12" s="18">
        <v>46001</v>
      </c>
      <c r="AI12" s="13">
        <f t="shared" si="11"/>
        <v>46131</v>
      </c>
      <c r="AJ12" s="14" t="str">
        <f>VLOOKUP('2025'!AI12,Julian!$A$3:$G$367,7,FALSE)</f>
        <v>26AL19</v>
      </c>
    </row>
    <row r="13" spans="1:36" ht="18.75">
      <c r="A13" s="18">
        <v>45668</v>
      </c>
      <c r="B13" s="11">
        <f t="shared" si="0"/>
        <v>45798</v>
      </c>
      <c r="C13" s="12" t="str">
        <f>VLOOKUP('2025'!B13,Julian!$A$3:$G$367,7,FALSE)</f>
        <v>25MA21</v>
      </c>
      <c r="D13" s="18">
        <v>45699</v>
      </c>
      <c r="E13" s="11">
        <f t="shared" si="1"/>
        <v>45829</v>
      </c>
      <c r="F13" s="12" t="str">
        <f>VLOOKUP('2025'!E13,Julian!$A$3:$G$367,7,FALSE)</f>
        <v>25JN21</v>
      </c>
      <c r="G13" s="18">
        <v>45727</v>
      </c>
      <c r="H13" s="11">
        <f t="shared" si="2"/>
        <v>45857</v>
      </c>
      <c r="I13" s="12" t="str">
        <f>VLOOKUP('2025'!H13,Julian!$A$3:$G$367,7,FALSE)</f>
        <v>25JL19</v>
      </c>
      <c r="J13" s="18">
        <v>45758</v>
      </c>
      <c r="K13" s="11">
        <f t="shared" si="3"/>
        <v>45888</v>
      </c>
      <c r="L13" s="12" t="str">
        <f>VLOOKUP('2025'!K13,Julian!$A$3:$G$367,7,FALSE)</f>
        <v>25AU19</v>
      </c>
      <c r="M13" s="18">
        <v>45788</v>
      </c>
      <c r="N13" s="11">
        <f t="shared" si="4"/>
        <v>45918</v>
      </c>
      <c r="O13" s="12" t="str">
        <f>VLOOKUP('2025'!N13,Julian!$A$3:$G$367,7,FALSE)</f>
        <v>25SE18</v>
      </c>
      <c r="P13" s="18">
        <v>45819</v>
      </c>
      <c r="Q13" s="11">
        <f t="shared" si="5"/>
        <v>45949</v>
      </c>
      <c r="R13" s="12" t="str">
        <f>VLOOKUP('2025'!Q13,Julian!$A$3:$G$367,7,FALSE)</f>
        <v>25OC19</v>
      </c>
      <c r="S13" s="18">
        <v>45849</v>
      </c>
      <c r="T13" s="13">
        <f t="shared" si="6"/>
        <v>45979</v>
      </c>
      <c r="U13" s="14" t="str">
        <f>VLOOKUP('2025'!T13,Julian!$A$3:$G$367,7,FALSE)</f>
        <v>25NO18</v>
      </c>
      <c r="V13" s="18">
        <v>45880</v>
      </c>
      <c r="W13" s="13">
        <f t="shared" si="7"/>
        <v>46010</v>
      </c>
      <c r="X13" s="14" t="str">
        <f>VLOOKUP('2025'!W13,Julian!$A$3:$G$367,7,FALSE)</f>
        <v>25DE19</v>
      </c>
      <c r="Y13" s="18">
        <v>45911</v>
      </c>
      <c r="Z13" s="13">
        <f t="shared" si="8"/>
        <v>46041</v>
      </c>
      <c r="AA13" s="14" t="str">
        <f>VLOOKUP('2025'!Z13,Julian!$A$3:$G$367,7,FALSE)</f>
        <v>26JA19</v>
      </c>
      <c r="AB13" s="18">
        <v>45941</v>
      </c>
      <c r="AC13" s="13">
        <f t="shared" si="9"/>
        <v>46071</v>
      </c>
      <c r="AD13" s="14" t="str">
        <f>VLOOKUP('2025'!AC13,Julian!$A$3:$G$367,7,FALSE)</f>
        <v>26FE18</v>
      </c>
      <c r="AE13" s="18">
        <v>45972</v>
      </c>
      <c r="AF13" s="13">
        <f t="shared" si="10"/>
        <v>46102</v>
      </c>
      <c r="AG13" s="14" t="str">
        <f>VLOOKUP('2025'!AF13,Julian!$A$3:$G$367,7,FALSE)</f>
        <v>26MR21</v>
      </c>
      <c r="AH13" s="18">
        <v>46002</v>
      </c>
      <c r="AI13" s="13">
        <f t="shared" si="11"/>
        <v>46132</v>
      </c>
      <c r="AJ13" s="14" t="str">
        <f>VLOOKUP('2025'!AI13,Julian!$A$3:$G$367,7,FALSE)</f>
        <v>26AL20</v>
      </c>
    </row>
    <row r="14" spans="1:36" ht="18.75">
      <c r="A14" s="18">
        <v>45669</v>
      </c>
      <c r="B14" s="11">
        <f t="shared" si="0"/>
        <v>45799</v>
      </c>
      <c r="C14" s="12" t="str">
        <f>VLOOKUP('2025'!B14,Julian!$A$3:$G$367,7,FALSE)</f>
        <v>25MA22</v>
      </c>
      <c r="D14" s="18">
        <v>45700</v>
      </c>
      <c r="E14" s="11">
        <f t="shared" si="1"/>
        <v>45830</v>
      </c>
      <c r="F14" s="12" t="str">
        <f>VLOOKUP('2025'!E14,Julian!$A$3:$G$367,7,FALSE)</f>
        <v>25JN22</v>
      </c>
      <c r="G14" s="18">
        <v>45728</v>
      </c>
      <c r="H14" s="11">
        <f t="shared" si="2"/>
        <v>45858</v>
      </c>
      <c r="I14" s="12" t="str">
        <f>VLOOKUP('2025'!H14,Julian!$A$3:$G$367,7,FALSE)</f>
        <v>25JL20</v>
      </c>
      <c r="J14" s="18">
        <v>45759</v>
      </c>
      <c r="K14" s="11">
        <f t="shared" si="3"/>
        <v>45889</v>
      </c>
      <c r="L14" s="12" t="str">
        <f>VLOOKUP('2025'!K14,Julian!$A$3:$G$367,7,FALSE)</f>
        <v>25AU20</v>
      </c>
      <c r="M14" s="18">
        <v>45789</v>
      </c>
      <c r="N14" s="11">
        <f t="shared" si="4"/>
        <v>45919</v>
      </c>
      <c r="O14" s="12" t="str">
        <f>VLOOKUP('2025'!N14,Julian!$A$3:$G$367,7,FALSE)</f>
        <v>25SE19</v>
      </c>
      <c r="P14" s="18">
        <v>45820</v>
      </c>
      <c r="Q14" s="11">
        <f t="shared" si="5"/>
        <v>45950</v>
      </c>
      <c r="R14" s="12" t="str">
        <f>VLOOKUP('2025'!Q14,Julian!$A$3:$G$367,7,FALSE)</f>
        <v>25OC20</v>
      </c>
      <c r="S14" s="18">
        <v>45850</v>
      </c>
      <c r="T14" s="13">
        <f t="shared" si="6"/>
        <v>45980</v>
      </c>
      <c r="U14" s="14" t="str">
        <f>VLOOKUP('2025'!T14,Julian!$A$3:$G$367,7,FALSE)</f>
        <v>25NO19</v>
      </c>
      <c r="V14" s="18">
        <v>45881</v>
      </c>
      <c r="W14" s="13">
        <f t="shared" si="7"/>
        <v>46011</v>
      </c>
      <c r="X14" s="14" t="str">
        <f>VLOOKUP('2025'!W14,Julian!$A$3:$G$367,7,FALSE)</f>
        <v>25DE20</v>
      </c>
      <c r="Y14" s="18">
        <v>45912</v>
      </c>
      <c r="Z14" s="13">
        <f t="shared" si="8"/>
        <v>46042</v>
      </c>
      <c r="AA14" s="14" t="str">
        <f>VLOOKUP('2025'!Z14,Julian!$A$3:$G$367,7,FALSE)</f>
        <v>26JA20</v>
      </c>
      <c r="AB14" s="18">
        <v>45942</v>
      </c>
      <c r="AC14" s="13">
        <f t="shared" si="9"/>
        <v>46072</v>
      </c>
      <c r="AD14" s="14" t="str">
        <f>VLOOKUP('2025'!AC14,Julian!$A$3:$G$367,7,FALSE)</f>
        <v>26FE19</v>
      </c>
      <c r="AE14" s="18">
        <v>45973</v>
      </c>
      <c r="AF14" s="13">
        <f t="shared" si="10"/>
        <v>46103</v>
      </c>
      <c r="AG14" s="14" t="str">
        <f>VLOOKUP('2025'!AF14,Julian!$A$3:$G$367,7,FALSE)</f>
        <v>26MR22</v>
      </c>
      <c r="AH14" s="18">
        <v>46003</v>
      </c>
      <c r="AI14" s="13">
        <f t="shared" si="11"/>
        <v>46133</v>
      </c>
      <c r="AJ14" s="14" t="str">
        <f>VLOOKUP('2025'!AI14,Julian!$A$3:$G$367,7,FALSE)</f>
        <v>26AL21</v>
      </c>
    </row>
    <row r="15" spans="1:36" ht="18.75">
      <c r="A15" s="18">
        <v>45670</v>
      </c>
      <c r="B15" s="11">
        <f t="shared" si="0"/>
        <v>45800</v>
      </c>
      <c r="C15" s="12" t="str">
        <f>VLOOKUP('2025'!B15,Julian!$A$3:$G$367,7,FALSE)</f>
        <v>25MA23</v>
      </c>
      <c r="D15" s="18">
        <v>45701</v>
      </c>
      <c r="E15" s="11">
        <f t="shared" si="1"/>
        <v>45831</v>
      </c>
      <c r="F15" s="12" t="str">
        <f>VLOOKUP('2025'!E15,Julian!$A$3:$G$367,7,FALSE)</f>
        <v>25JN23</v>
      </c>
      <c r="G15" s="18">
        <v>45729</v>
      </c>
      <c r="H15" s="11">
        <f t="shared" si="2"/>
        <v>45859</v>
      </c>
      <c r="I15" s="12" t="str">
        <f>VLOOKUP('2025'!H15,Julian!$A$3:$G$367,7,FALSE)</f>
        <v>25JL21</v>
      </c>
      <c r="J15" s="18">
        <v>45760</v>
      </c>
      <c r="K15" s="11">
        <f t="shared" si="3"/>
        <v>45890</v>
      </c>
      <c r="L15" s="12" t="str">
        <f>VLOOKUP('2025'!K15,Julian!$A$3:$G$367,7,FALSE)</f>
        <v>25AU21</v>
      </c>
      <c r="M15" s="18">
        <v>45790</v>
      </c>
      <c r="N15" s="11">
        <f t="shared" si="4"/>
        <v>45920</v>
      </c>
      <c r="O15" s="12" t="str">
        <f>VLOOKUP('2025'!N15,Julian!$A$3:$G$367,7,FALSE)</f>
        <v>25SE20</v>
      </c>
      <c r="P15" s="18">
        <v>45821</v>
      </c>
      <c r="Q15" s="11">
        <f t="shared" si="5"/>
        <v>45951</v>
      </c>
      <c r="R15" s="12" t="str">
        <f>VLOOKUP('2025'!Q15,Julian!$A$3:$G$367,7,FALSE)</f>
        <v>25OC21</v>
      </c>
      <c r="S15" s="18">
        <v>45851</v>
      </c>
      <c r="T15" s="13">
        <f t="shared" si="6"/>
        <v>45981</v>
      </c>
      <c r="U15" s="14" t="str">
        <f>VLOOKUP('2025'!T15,Julian!$A$3:$G$367,7,FALSE)</f>
        <v>25NO20</v>
      </c>
      <c r="V15" s="18">
        <v>45882</v>
      </c>
      <c r="W15" s="13">
        <f t="shared" si="7"/>
        <v>46012</v>
      </c>
      <c r="X15" s="14" t="str">
        <f>VLOOKUP('2025'!W15,Julian!$A$3:$G$367,7,FALSE)</f>
        <v>25DE21</v>
      </c>
      <c r="Y15" s="18">
        <v>45913</v>
      </c>
      <c r="Z15" s="13">
        <f t="shared" si="8"/>
        <v>46043</v>
      </c>
      <c r="AA15" s="14" t="str">
        <f>VLOOKUP('2025'!Z15,Julian!$A$3:$G$367,7,FALSE)</f>
        <v>26JA21</v>
      </c>
      <c r="AB15" s="18">
        <v>45943</v>
      </c>
      <c r="AC15" s="13">
        <f t="shared" si="9"/>
        <v>46073</v>
      </c>
      <c r="AD15" s="14" t="str">
        <f>VLOOKUP('2025'!AC15,Julian!$A$3:$G$367,7,FALSE)</f>
        <v>26FE20</v>
      </c>
      <c r="AE15" s="18">
        <v>45974</v>
      </c>
      <c r="AF15" s="13">
        <f t="shared" si="10"/>
        <v>46104</v>
      </c>
      <c r="AG15" s="14" t="str">
        <f>VLOOKUP('2025'!AF15,Julian!$A$3:$G$367,7,FALSE)</f>
        <v>26MR23</v>
      </c>
      <c r="AH15" s="18">
        <v>46004</v>
      </c>
      <c r="AI15" s="13">
        <f t="shared" si="11"/>
        <v>46134</v>
      </c>
      <c r="AJ15" s="14" t="str">
        <f>VLOOKUP('2025'!AI15,Julian!$A$3:$G$367,7,FALSE)</f>
        <v>26AL22</v>
      </c>
    </row>
    <row r="16" spans="1:36" ht="18.75">
      <c r="A16" s="18">
        <v>45671</v>
      </c>
      <c r="B16" s="11">
        <f t="shared" si="0"/>
        <v>45801</v>
      </c>
      <c r="C16" s="12" t="str">
        <f>VLOOKUP('2025'!B16,Julian!$A$3:$G$367,7,FALSE)</f>
        <v>25MA24</v>
      </c>
      <c r="D16" s="18">
        <v>45702</v>
      </c>
      <c r="E16" s="11">
        <f t="shared" si="1"/>
        <v>45832</v>
      </c>
      <c r="F16" s="12" t="str">
        <f>VLOOKUP('2025'!E16,Julian!$A$3:$G$367,7,FALSE)</f>
        <v>25JN24</v>
      </c>
      <c r="G16" s="18">
        <v>45730</v>
      </c>
      <c r="H16" s="11">
        <f t="shared" si="2"/>
        <v>45860</v>
      </c>
      <c r="I16" s="12" t="str">
        <f>VLOOKUP('2025'!H16,Julian!$A$3:$G$367,7,FALSE)</f>
        <v>25JL22</v>
      </c>
      <c r="J16" s="18">
        <v>45761</v>
      </c>
      <c r="K16" s="11">
        <f t="shared" si="3"/>
        <v>45891</v>
      </c>
      <c r="L16" s="12" t="str">
        <f>VLOOKUP('2025'!K16,Julian!$A$3:$G$367,7,FALSE)</f>
        <v>25AU22</v>
      </c>
      <c r="M16" s="18">
        <v>45791</v>
      </c>
      <c r="N16" s="11">
        <f t="shared" si="4"/>
        <v>45921</v>
      </c>
      <c r="O16" s="12" t="str">
        <f>VLOOKUP('2025'!N16,Julian!$A$3:$G$367,7,FALSE)</f>
        <v>25SE21</v>
      </c>
      <c r="P16" s="18">
        <v>45822</v>
      </c>
      <c r="Q16" s="11">
        <f t="shared" si="5"/>
        <v>45952</v>
      </c>
      <c r="R16" s="12" t="str">
        <f>VLOOKUP('2025'!Q16,Julian!$A$3:$G$367,7,FALSE)</f>
        <v>25OC22</v>
      </c>
      <c r="S16" s="18">
        <v>45852</v>
      </c>
      <c r="T16" s="13">
        <f t="shared" si="6"/>
        <v>45982</v>
      </c>
      <c r="U16" s="14" t="str">
        <f>VLOOKUP('2025'!T16,Julian!$A$3:$G$367,7,FALSE)</f>
        <v>25NO21</v>
      </c>
      <c r="V16" s="18">
        <v>45883</v>
      </c>
      <c r="W16" s="13">
        <f t="shared" si="7"/>
        <v>46013</v>
      </c>
      <c r="X16" s="14" t="str">
        <f>VLOOKUP('2025'!W16,Julian!$A$3:$G$367,7,FALSE)</f>
        <v>25DE22</v>
      </c>
      <c r="Y16" s="18">
        <v>45914</v>
      </c>
      <c r="Z16" s="13">
        <f t="shared" si="8"/>
        <v>46044</v>
      </c>
      <c r="AA16" s="14" t="str">
        <f>VLOOKUP('2025'!Z16,Julian!$A$3:$G$367,7,FALSE)</f>
        <v>26JA22</v>
      </c>
      <c r="AB16" s="18">
        <v>45944</v>
      </c>
      <c r="AC16" s="13">
        <f t="shared" si="9"/>
        <v>46074</v>
      </c>
      <c r="AD16" s="14" t="str">
        <f>VLOOKUP('2025'!AC16,Julian!$A$3:$G$367,7,FALSE)</f>
        <v>26FE21</v>
      </c>
      <c r="AE16" s="18">
        <v>45975</v>
      </c>
      <c r="AF16" s="13">
        <f t="shared" si="10"/>
        <v>46105</v>
      </c>
      <c r="AG16" s="14" t="str">
        <f>VLOOKUP('2025'!AF16,Julian!$A$3:$G$367,7,FALSE)</f>
        <v>26MR24</v>
      </c>
      <c r="AH16" s="18">
        <v>46005</v>
      </c>
      <c r="AI16" s="13">
        <f t="shared" si="11"/>
        <v>46135</v>
      </c>
      <c r="AJ16" s="14" t="str">
        <f>VLOOKUP('2025'!AI16,Julian!$A$3:$G$367,7,FALSE)</f>
        <v>26AL23</v>
      </c>
    </row>
    <row r="17" spans="1:36" ht="18.75">
      <c r="A17" s="18">
        <v>45672</v>
      </c>
      <c r="B17" s="11">
        <f t="shared" si="0"/>
        <v>45802</v>
      </c>
      <c r="C17" s="12" t="str">
        <f>VLOOKUP('2025'!B17,Julian!$A$3:$G$367,7,FALSE)</f>
        <v>25MA25</v>
      </c>
      <c r="D17" s="18">
        <v>45703</v>
      </c>
      <c r="E17" s="11">
        <f t="shared" si="1"/>
        <v>45833</v>
      </c>
      <c r="F17" s="12" t="str">
        <f>VLOOKUP('2025'!E17,Julian!$A$3:$G$367,7,FALSE)</f>
        <v>25JN25</v>
      </c>
      <c r="G17" s="18">
        <v>45731</v>
      </c>
      <c r="H17" s="11">
        <f t="shared" si="2"/>
        <v>45861</v>
      </c>
      <c r="I17" s="12" t="str">
        <f>VLOOKUP('2025'!H17,Julian!$A$3:$G$367,7,FALSE)</f>
        <v>25JL23</v>
      </c>
      <c r="J17" s="18">
        <v>45762</v>
      </c>
      <c r="K17" s="11">
        <f t="shared" si="3"/>
        <v>45892</v>
      </c>
      <c r="L17" s="12" t="str">
        <f>VLOOKUP('2025'!K17,Julian!$A$3:$G$367,7,FALSE)</f>
        <v>25AU23</v>
      </c>
      <c r="M17" s="18">
        <v>45792</v>
      </c>
      <c r="N17" s="11">
        <f t="shared" si="4"/>
        <v>45922</v>
      </c>
      <c r="O17" s="12" t="str">
        <f>VLOOKUP('2025'!N17,Julian!$A$3:$G$367,7,FALSE)</f>
        <v>25SE22</v>
      </c>
      <c r="P17" s="18">
        <v>45823</v>
      </c>
      <c r="Q17" s="11">
        <f t="shared" si="5"/>
        <v>45953</v>
      </c>
      <c r="R17" s="12" t="str">
        <f>VLOOKUP('2025'!Q17,Julian!$A$3:$G$367,7,FALSE)</f>
        <v>25OC23</v>
      </c>
      <c r="S17" s="18">
        <v>45853</v>
      </c>
      <c r="T17" s="13">
        <f t="shared" si="6"/>
        <v>45983</v>
      </c>
      <c r="U17" s="14" t="str">
        <f>VLOOKUP('2025'!T17,Julian!$A$3:$G$367,7,FALSE)</f>
        <v>25NO22</v>
      </c>
      <c r="V17" s="18">
        <v>45884</v>
      </c>
      <c r="W17" s="13">
        <f t="shared" si="7"/>
        <v>46014</v>
      </c>
      <c r="X17" s="14" t="str">
        <f>VLOOKUP('2025'!W17,Julian!$A$3:$G$367,7,FALSE)</f>
        <v>25DE23</v>
      </c>
      <c r="Y17" s="18">
        <v>45915</v>
      </c>
      <c r="Z17" s="13">
        <f t="shared" si="8"/>
        <v>46045</v>
      </c>
      <c r="AA17" s="14" t="str">
        <f>VLOOKUP('2025'!Z17,Julian!$A$3:$G$367,7,FALSE)</f>
        <v>26JA23</v>
      </c>
      <c r="AB17" s="18">
        <v>45945</v>
      </c>
      <c r="AC17" s="13">
        <f t="shared" si="9"/>
        <v>46075</v>
      </c>
      <c r="AD17" s="14" t="str">
        <f>VLOOKUP('2025'!AC17,Julian!$A$3:$G$367,7,FALSE)</f>
        <v>26FE22</v>
      </c>
      <c r="AE17" s="18">
        <v>45976</v>
      </c>
      <c r="AF17" s="13">
        <f t="shared" si="10"/>
        <v>46106</v>
      </c>
      <c r="AG17" s="14" t="str">
        <f>VLOOKUP('2025'!AF17,Julian!$A$3:$G$367,7,FALSE)</f>
        <v>26MR25</v>
      </c>
      <c r="AH17" s="18">
        <v>46006</v>
      </c>
      <c r="AI17" s="13">
        <f t="shared" si="11"/>
        <v>46136</v>
      </c>
      <c r="AJ17" s="14" t="str">
        <f>VLOOKUP('2025'!AI17,Julian!$A$3:$G$367,7,FALSE)</f>
        <v>26AL24</v>
      </c>
    </row>
    <row r="18" spans="1:36" ht="18.75">
      <c r="A18" s="18">
        <v>45673</v>
      </c>
      <c r="B18" s="11">
        <f t="shared" si="0"/>
        <v>45803</v>
      </c>
      <c r="C18" s="12" t="str">
        <f>VLOOKUP('2025'!B18,Julian!$A$3:$G$367,7,FALSE)</f>
        <v>25MA26</v>
      </c>
      <c r="D18" s="18">
        <v>45704</v>
      </c>
      <c r="E18" s="11">
        <f t="shared" si="1"/>
        <v>45834</v>
      </c>
      <c r="F18" s="12" t="str">
        <f>VLOOKUP('2025'!E18,Julian!$A$3:$G$367,7,FALSE)</f>
        <v>25JN26</v>
      </c>
      <c r="G18" s="18">
        <v>45732</v>
      </c>
      <c r="H18" s="11">
        <f t="shared" si="2"/>
        <v>45862</v>
      </c>
      <c r="I18" s="12" t="str">
        <f>VLOOKUP('2025'!H18,Julian!$A$3:$G$367,7,FALSE)</f>
        <v>25JL24</v>
      </c>
      <c r="J18" s="18">
        <v>45763</v>
      </c>
      <c r="K18" s="11">
        <f t="shared" si="3"/>
        <v>45893</v>
      </c>
      <c r="L18" s="12" t="str">
        <f>VLOOKUP('2025'!K18,Julian!$A$3:$G$367,7,FALSE)</f>
        <v>25AU24</v>
      </c>
      <c r="M18" s="18">
        <v>45793</v>
      </c>
      <c r="N18" s="11">
        <f t="shared" si="4"/>
        <v>45923</v>
      </c>
      <c r="O18" s="12" t="str">
        <f>VLOOKUP('2025'!N18,Julian!$A$3:$G$367,7,FALSE)</f>
        <v>25SE23</v>
      </c>
      <c r="P18" s="18">
        <v>45824</v>
      </c>
      <c r="Q18" s="11">
        <f t="shared" si="5"/>
        <v>45954</v>
      </c>
      <c r="R18" s="12" t="str">
        <f>VLOOKUP('2025'!Q18,Julian!$A$3:$G$367,7,FALSE)</f>
        <v>25OC24</v>
      </c>
      <c r="S18" s="18">
        <v>45854</v>
      </c>
      <c r="T18" s="13">
        <f t="shared" si="6"/>
        <v>45984</v>
      </c>
      <c r="U18" s="14" t="str">
        <f>VLOOKUP('2025'!T18,Julian!$A$3:$G$367,7,FALSE)</f>
        <v>25NO23</v>
      </c>
      <c r="V18" s="18">
        <v>45885</v>
      </c>
      <c r="W18" s="13">
        <f t="shared" si="7"/>
        <v>46015</v>
      </c>
      <c r="X18" s="14" t="str">
        <f>VLOOKUP('2025'!W18,Julian!$A$3:$G$367,7,FALSE)</f>
        <v>25DE24</v>
      </c>
      <c r="Y18" s="18">
        <v>45916</v>
      </c>
      <c r="Z18" s="13">
        <f t="shared" si="8"/>
        <v>46046</v>
      </c>
      <c r="AA18" s="14" t="str">
        <f>VLOOKUP('2025'!Z18,Julian!$A$3:$G$367,7,FALSE)</f>
        <v>26JA24</v>
      </c>
      <c r="AB18" s="18">
        <v>45946</v>
      </c>
      <c r="AC18" s="13">
        <f t="shared" si="9"/>
        <v>46076</v>
      </c>
      <c r="AD18" s="14" t="str">
        <f>VLOOKUP('2025'!AC18,Julian!$A$3:$G$367,7,FALSE)</f>
        <v>26FE23</v>
      </c>
      <c r="AE18" s="18">
        <v>45977</v>
      </c>
      <c r="AF18" s="13">
        <f t="shared" si="10"/>
        <v>46107</v>
      </c>
      <c r="AG18" s="14" t="str">
        <f>VLOOKUP('2025'!AF18,Julian!$A$3:$G$367,7,FALSE)</f>
        <v>26MR26</v>
      </c>
      <c r="AH18" s="18">
        <v>46007</v>
      </c>
      <c r="AI18" s="13">
        <f t="shared" si="11"/>
        <v>46137</v>
      </c>
      <c r="AJ18" s="14" t="str">
        <f>VLOOKUP('2025'!AI18,Julian!$A$3:$G$367,7,FALSE)</f>
        <v>26AL25</v>
      </c>
    </row>
    <row r="19" spans="1:36" ht="18.75">
      <c r="A19" s="18">
        <v>45674</v>
      </c>
      <c r="B19" s="11">
        <f t="shared" si="0"/>
        <v>45804</v>
      </c>
      <c r="C19" s="12" t="str">
        <f>VLOOKUP('2025'!B19,Julian!$A$3:$G$367,7,FALSE)</f>
        <v>25MA27</v>
      </c>
      <c r="D19" s="18">
        <v>45705</v>
      </c>
      <c r="E19" s="11">
        <f t="shared" si="1"/>
        <v>45835</v>
      </c>
      <c r="F19" s="12" t="str">
        <f>VLOOKUP('2025'!E19,Julian!$A$3:$G$367,7,FALSE)</f>
        <v>25JN27</v>
      </c>
      <c r="G19" s="18">
        <v>45733</v>
      </c>
      <c r="H19" s="11">
        <f t="shared" si="2"/>
        <v>45863</v>
      </c>
      <c r="I19" s="12" t="str">
        <f>VLOOKUP('2025'!H19,Julian!$A$3:$G$367,7,FALSE)</f>
        <v>25JL25</v>
      </c>
      <c r="J19" s="18">
        <v>45764</v>
      </c>
      <c r="K19" s="11">
        <f t="shared" si="3"/>
        <v>45894</v>
      </c>
      <c r="L19" s="12" t="str">
        <f>VLOOKUP('2025'!K19,Julian!$A$3:$G$367,7,FALSE)</f>
        <v>25AU25</v>
      </c>
      <c r="M19" s="18">
        <v>45794</v>
      </c>
      <c r="N19" s="11">
        <f t="shared" si="4"/>
        <v>45924</v>
      </c>
      <c r="O19" s="12" t="str">
        <f>VLOOKUP('2025'!N19,Julian!$A$3:$G$367,7,FALSE)</f>
        <v>25SE24</v>
      </c>
      <c r="P19" s="18">
        <v>45825</v>
      </c>
      <c r="Q19" s="11">
        <f t="shared" si="5"/>
        <v>45955</v>
      </c>
      <c r="R19" s="12" t="str">
        <f>VLOOKUP('2025'!Q19,Julian!$A$3:$G$367,7,FALSE)</f>
        <v>25OC25</v>
      </c>
      <c r="S19" s="18">
        <v>45855</v>
      </c>
      <c r="T19" s="13">
        <f t="shared" si="6"/>
        <v>45985</v>
      </c>
      <c r="U19" s="14" t="str">
        <f>VLOOKUP('2025'!T19,Julian!$A$3:$G$367,7,FALSE)</f>
        <v>25NO24</v>
      </c>
      <c r="V19" s="18">
        <v>45886</v>
      </c>
      <c r="W19" s="13">
        <f t="shared" si="7"/>
        <v>46016</v>
      </c>
      <c r="X19" s="14" t="str">
        <f>VLOOKUP('2025'!W19,Julian!$A$3:$G$367,7,FALSE)</f>
        <v>25DE25</v>
      </c>
      <c r="Y19" s="18">
        <v>45917</v>
      </c>
      <c r="Z19" s="13">
        <f t="shared" si="8"/>
        <v>46047</v>
      </c>
      <c r="AA19" s="14" t="str">
        <f>VLOOKUP('2025'!Z19,Julian!$A$3:$G$367,7,FALSE)</f>
        <v>26JA25</v>
      </c>
      <c r="AB19" s="18">
        <v>45947</v>
      </c>
      <c r="AC19" s="13">
        <f t="shared" si="9"/>
        <v>46077</v>
      </c>
      <c r="AD19" s="14" t="str">
        <f>VLOOKUP('2025'!AC19,Julian!$A$3:$G$367,7,FALSE)</f>
        <v>26FE24</v>
      </c>
      <c r="AE19" s="18">
        <v>45978</v>
      </c>
      <c r="AF19" s="13">
        <f t="shared" si="10"/>
        <v>46108</v>
      </c>
      <c r="AG19" s="14" t="str">
        <f>VLOOKUP('2025'!AF19,Julian!$A$3:$G$367,7,FALSE)</f>
        <v>26MR27</v>
      </c>
      <c r="AH19" s="18">
        <v>46008</v>
      </c>
      <c r="AI19" s="13">
        <f t="shared" si="11"/>
        <v>46138</v>
      </c>
      <c r="AJ19" s="14" t="str">
        <f>VLOOKUP('2025'!AI19,Julian!$A$3:$G$367,7,FALSE)</f>
        <v>26AL26</v>
      </c>
    </row>
    <row r="20" spans="1:36" ht="18.75">
      <c r="A20" s="18">
        <v>45675</v>
      </c>
      <c r="B20" s="11">
        <f t="shared" si="0"/>
        <v>45805</v>
      </c>
      <c r="C20" s="12" t="str">
        <f>VLOOKUP('2025'!B20,Julian!$A$3:$G$367,7,FALSE)</f>
        <v>25MA28</v>
      </c>
      <c r="D20" s="18">
        <v>45706</v>
      </c>
      <c r="E20" s="11">
        <f t="shared" si="1"/>
        <v>45836</v>
      </c>
      <c r="F20" s="12" t="str">
        <f>VLOOKUP('2025'!E20,Julian!$A$3:$G$367,7,FALSE)</f>
        <v>25JN28</v>
      </c>
      <c r="G20" s="18">
        <v>45734</v>
      </c>
      <c r="H20" s="11">
        <f t="shared" si="2"/>
        <v>45864</v>
      </c>
      <c r="I20" s="12" t="str">
        <f>VLOOKUP('2025'!H20,Julian!$A$3:$G$367,7,FALSE)</f>
        <v>25JL26</v>
      </c>
      <c r="J20" s="18">
        <v>45765</v>
      </c>
      <c r="K20" s="11">
        <f t="shared" si="3"/>
        <v>45895</v>
      </c>
      <c r="L20" s="12" t="str">
        <f>VLOOKUP('2025'!K20,Julian!$A$3:$G$367,7,FALSE)</f>
        <v>25AU26</v>
      </c>
      <c r="M20" s="18">
        <v>45795</v>
      </c>
      <c r="N20" s="11">
        <f t="shared" si="4"/>
        <v>45925</v>
      </c>
      <c r="O20" s="12" t="str">
        <f>VLOOKUP('2025'!N20,Julian!$A$3:$G$367,7,FALSE)</f>
        <v>25SE25</v>
      </c>
      <c r="P20" s="18">
        <v>45826</v>
      </c>
      <c r="Q20" s="11">
        <f t="shared" si="5"/>
        <v>45956</v>
      </c>
      <c r="R20" s="12" t="str">
        <f>VLOOKUP('2025'!Q20,Julian!$A$3:$G$367,7,FALSE)</f>
        <v>25OC26</v>
      </c>
      <c r="S20" s="18">
        <v>45856</v>
      </c>
      <c r="T20" s="13">
        <f t="shared" si="6"/>
        <v>45986</v>
      </c>
      <c r="U20" s="14" t="str">
        <f>VLOOKUP('2025'!T20,Julian!$A$3:$G$367,7,FALSE)</f>
        <v>25NO25</v>
      </c>
      <c r="V20" s="18">
        <v>45887</v>
      </c>
      <c r="W20" s="13">
        <f t="shared" si="7"/>
        <v>46017</v>
      </c>
      <c r="X20" s="14" t="str">
        <f>VLOOKUP('2025'!W20,Julian!$A$3:$G$367,7,FALSE)</f>
        <v>25DE26</v>
      </c>
      <c r="Y20" s="18">
        <v>45918</v>
      </c>
      <c r="Z20" s="13">
        <f t="shared" si="8"/>
        <v>46048</v>
      </c>
      <c r="AA20" s="14" t="str">
        <f>VLOOKUP('2025'!Z20,Julian!$A$3:$G$367,7,FALSE)</f>
        <v>26JA26</v>
      </c>
      <c r="AB20" s="18">
        <v>45948</v>
      </c>
      <c r="AC20" s="13">
        <f t="shared" si="9"/>
        <v>46078</v>
      </c>
      <c r="AD20" s="14" t="str">
        <f>VLOOKUP('2025'!AC20,Julian!$A$3:$G$367,7,FALSE)</f>
        <v>26FE25</v>
      </c>
      <c r="AE20" s="18">
        <v>45979</v>
      </c>
      <c r="AF20" s="13">
        <f t="shared" si="10"/>
        <v>46109</v>
      </c>
      <c r="AG20" s="14" t="str">
        <f>VLOOKUP('2025'!AF20,Julian!$A$3:$G$367,7,FALSE)</f>
        <v>26MR28</v>
      </c>
      <c r="AH20" s="18">
        <v>46009</v>
      </c>
      <c r="AI20" s="13">
        <f t="shared" si="11"/>
        <v>46139</v>
      </c>
      <c r="AJ20" s="14" t="str">
        <f>VLOOKUP('2025'!AI20,Julian!$A$3:$G$367,7,FALSE)</f>
        <v>26AL27</v>
      </c>
    </row>
    <row r="21" spans="1:36" ht="18.75">
      <c r="A21" s="18">
        <v>45676</v>
      </c>
      <c r="B21" s="11">
        <f t="shared" si="0"/>
        <v>45806</v>
      </c>
      <c r="C21" s="12" t="str">
        <f>VLOOKUP('2025'!B21,Julian!$A$3:$G$367,7,FALSE)</f>
        <v>25MA29</v>
      </c>
      <c r="D21" s="18">
        <v>45707</v>
      </c>
      <c r="E21" s="11">
        <f t="shared" si="1"/>
        <v>45837</v>
      </c>
      <c r="F21" s="12" t="str">
        <f>VLOOKUP('2025'!E21,Julian!$A$3:$G$367,7,FALSE)</f>
        <v>25JN29</v>
      </c>
      <c r="G21" s="18">
        <v>45735</v>
      </c>
      <c r="H21" s="11">
        <f t="shared" si="2"/>
        <v>45865</v>
      </c>
      <c r="I21" s="12" t="str">
        <f>VLOOKUP('2025'!H21,Julian!$A$3:$G$367,7,FALSE)</f>
        <v>25JL27</v>
      </c>
      <c r="J21" s="18">
        <v>45766</v>
      </c>
      <c r="K21" s="11">
        <f t="shared" si="3"/>
        <v>45896</v>
      </c>
      <c r="L21" s="12" t="str">
        <f>VLOOKUP('2025'!K21,Julian!$A$3:$G$367,7,FALSE)</f>
        <v>25AU27</v>
      </c>
      <c r="M21" s="18">
        <v>45796</v>
      </c>
      <c r="N21" s="11">
        <f t="shared" si="4"/>
        <v>45926</v>
      </c>
      <c r="O21" s="12" t="str">
        <f>VLOOKUP('2025'!N21,Julian!$A$3:$G$367,7,FALSE)</f>
        <v>25SE26</v>
      </c>
      <c r="P21" s="18">
        <v>45827</v>
      </c>
      <c r="Q21" s="11">
        <f t="shared" si="5"/>
        <v>45957</v>
      </c>
      <c r="R21" s="12" t="str">
        <f>VLOOKUP('2025'!Q21,Julian!$A$3:$G$367,7,FALSE)</f>
        <v>25OC27</v>
      </c>
      <c r="S21" s="18">
        <v>45857</v>
      </c>
      <c r="T21" s="13">
        <f t="shared" si="6"/>
        <v>45987</v>
      </c>
      <c r="U21" s="14" t="str">
        <f>VLOOKUP('2025'!T21,Julian!$A$3:$G$367,7,FALSE)</f>
        <v>25NO26</v>
      </c>
      <c r="V21" s="18">
        <v>45888</v>
      </c>
      <c r="W21" s="13">
        <f t="shared" si="7"/>
        <v>46018</v>
      </c>
      <c r="X21" s="14" t="str">
        <f>VLOOKUP('2025'!W21,Julian!$A$3:$G$367,7,FALSE)</f>
        <v>25DE27</v>
      </c>
      <c r="Y21" s="18">
        <v>45919</v>
      </c>
      <c r="Z21" s="13">
        <f t="shared" si="8"/>
        <v>46049</v>
      </c>
      <c r="AA21" s="14" t="str">
        <f>VLOOKUP('2025'!Z21,Julian!$A$3:$G$367,7,FALSE)</f>
        <v>26JA27</v>
      </c>
      <c r="AB21" s="18">
        <v>45949</v>
      </c>
      <c r="AC21" s="13">
        <f t="shared" si="9"/>
        <v>46079</v>
      </c>
      <c r="AD21" s="14" t="str">
        <f>VLOOKUP('2025'!AC21,Julian!$A$3:$G$367,7,FALSE)</f>
        <v>26FE26</v>
      </c>
      <c r="AE21" s="18">
        <v>45980</v>
      </c>
      <c r="AF21" s="13">
        <f t="shared" si="10"/>
        <v>46110</v>
      </c>
      <c r="AG21" s="14" t="str">
        <f>VLOOKUP('2025'!AF21,Julian!$A$3:$G$367,7,FALSE)</f>
        <v>26MR29</v>
      </c>
      <c r="AH21" s="18">
        <v>46010</v>
      </c>
      <c r="AI21" s="13">
        <f t="shared" si="11"/>
        <v>46140</v>
      </c>
      <c r="AJ21" s="14" t="str">
        <f>VLOOKUP('2025'!AI21,Julian!$A$3:$G$367,7,FALSE)</f>
        <v>26AL28</v>
      </c>
    </row>
    <row r="22" spans="1:36" ht="18.75">
      <c r="A22" s="18">
        <v>45677</v>
      </c>
      <c r="B22" s="11">
        <f t="shared" si="0"/>
        <v>45807</v>
      </c>
      <c r="C22" s="12" t="str">
        <f>VLOOKUP('2025'!B22,Julian!$A$3:$G$367,7,FALSE)</f>
        <v>25MA30</v>
      </c>
      <c r="D22" s="18">
        <v>45708</v>
      </c>
      <c r="E22" s="11">
        <f t="shared" si="1"/>
        <v>45838</v>
      </c>
      <c r="F22" s="12" t="str">
        <f>VLOOKUP('2025'!E22,Julian!$A$3:$G$367,7,FALSE)</f>
        <v>25JN30</v>
      </c>
      <c r="G22" s="18">
        <v>45736</v>
      </c>
      <c r="H22" s="11">
        <f t="shared" si="2"/>
        <v>45866</v>
      </c>
      <c r="I22" s="12" t="str">
        <f>VLOOKUP('2025'!H22,Julian!$A$3:$G$367,7,FALSE)</f>
        <v>25JL28</v>
      </c>
      <c r="J22" s="18">
        <v>45767</v>
      </c>
      <c r="K22" s="11">
        <f t="shared" si="3"/>
        <v>45897</v>
      </c>
      <c r="L22" s="12" t="str">
        <f>VLOOKUP('2025'!K22,Julian!$A$3:$G$367,7,FALSE)</f>
        <v>25AU28</v>
      </c>
      <c r="M22" s="18">
        <v>45797</v>
      </c>
      <c r="N22" s="11">
        <f t="shared" si="4"/>
        <v>45927</v>
      </c>
      <c r="O22" s="12" t="str">
        <f>VLOOKUP('2025'!N22,Julian!$A$3:$G$367,7,FALSE)</f>
        <v>25SE27</v>
      </c>
      <c r="P22" s="18">
        <v>45828</v>
      </c>
      <c r="Q22" s="11">
        <f t="shared" si="5"/>
        <v>45958</v>
      </c>
      <c r="R22" s="12" t="str">
        <f>VLOOKUP('2025'!Q22,Julian!$A$3:$G$367,7,FALSE)</f>
        <v>25OC28</v>
      </c>
      <c r="S22" s="18">
        <v>45858</v>
      </c>
      <c r="T22" s="13">
        <f t="shared" si="6"/>
        <v>45988</v>
      </c>
      <c r="U22" s="14" t="str">
        <f>VLOOKUP('2025'!T22,Julian!$A$3:$G$367,7,FALSE)</f>
        <v>25NO27</v>
      </c>
      <c r="V22" s="18">
        <v>45889</v>
      </c>
      <c r="W22" s="13">
        <f t="shared" si="7"/>
        <v>46019</v>
      </c>
      <c r="X22" s="14" t="str">
        <f>VLOOKUP('2025'!W22,Julian!$A$3:$G$367,7,FALSE)</f>
        <v>25DE28</v>
      </c>
      <c r="Y22" s="18">
        <v>45920</v>
      </c>
      <c r="Z22" s="13">
        <f t="shared" si="8"/>
        <v>46050</v>
      </c>
      <c r="AA22" s="14" t="str">
        <f>VLOOKUP('2025'!Z22,Julian!$A$3:$G$367,7,FALSE)</f>
        <v>26JA28</v>
      </c>
      <c r="AB22" s="18">
        <v>45950</v>
      </c>
      <c r="AC22" s="13">
        <f t="shared" si="9"/>
        <v>46080</v>
      </c>
      <c r="AD22" s="14" t="str">
        <f>VLOOKUP('2025'!AC22,Julian!$A$3:$G$367,7,FALSE)</f>
        <v>26FE27</v>
      </c>
      <c r="AE22" s="18">
        <v>45981</v>
      </c>
      <c r="AF22" s="13">
        <f t="shared" si="10"/>
        <v>46111</v>
      </c>
      <c r="AG22" s="14" t="str">
        <f>VLOOKUP('2025'!AF22,Julian!$A$3:$G$367,7,FALSE)</f>
        <v>26MR30</v>
      </c>
      <c r="AH22" s="18">
        <v>46011</v>
      </c>
      <c r="AI22" s="13">
        <f t="shared" si="11"/>
        <v>46141</v>
      </c>
      <c r="AJ22" s="14" t="str">
        <f>VLOOKUP('2025'!AI22,Julian!$A$3:$G$367,7,FALSE)</f>
        <v>26AL29</v>
      </c>
    </row>
    <row r="23" spans="1:36" ht="18.75">
      <c r="A23" s="18">
        <v>45678</v>
      </c>
      <c r="B23" s="11">
        <f t="shared" si="0"/>
        <v>45808</v>
      </c>
      <c r="C23" s="12" t="str">
        <f>VLOOKUP('2025'!B23,Julian!$A$3:$G$367,7,FALSE)</f>
        <v>25MA31</v>
      </c>
      <c r="D23" s="18">
        <v>45709</v>
      </c>
      <c r="E23" s="11">
        <f t="shared" si="1"/>
        <v>45839</v>
      </c>
      <c r="F23" s="12" t="str">
        <f>VLOOKUP('2025'!E23,Julian!$A$3:$G$367,7,FALSE)</f>
        <v>25JL01</v>
      </c>
      <c r="G23" s="18">
        <v>45737</v>
      </c>
      <c r="H23" s="11">
        <f t="shared" si="2"/>
        <v>45867</v>
      </c>
      <c r="I23" s="12" t="str">
        <f>VLOOKUP('2025'!H23,Julian!$A$3:$G$367,7,FALSE)</f>
        <v>25JL29</v>
      </c>
      <c r="J23" s="18">
        <v>45768</v>
      </c>
      <c r="K23" s="11">
        <f t="shared" si="3"/>
        <v>45898</v>
      </c>
      <c r="L23" s="12" t="str">
        <f>VLOOKUP('2025'!K23,Julian!$A$3:$G$367,7,FALSE)</f>
        <v>25AU29</v>
      </c>
      <c r="M23" s="18">
        <v>45798</v>
      </c>
      <c r="N23" s="11">
        <f t="shared" si="4"/>
        <v>45928</v>
      </c>
      <c r="O23" s="12" t="str">
        <f>VLOOKUP('2025'!N23,Julian!$A$3:$G$367,7,FALSE)</f>
        <v>25SE28</v>
      </c>
      <c r="P23" s="18">
        <v>45829</v>
      </c>
      <c r="Q23" s="11">
        <f t="shared" si="5"/>
        <v>45959</v>
      </c>
      <c r="R23" s="12" t="str">
        <f>VLOOKUP('2025'!Q23,Julian!$A$3:$G$367,7,FALSE)</f>
        <v>25OC29</v>
      </c>
      <c r="S23" s="18">
        <v>45859</v>
      </c>
      <c r="T23" s="13">
        <f t="shared" si="6"/>
        <v>45989</v>
      </c>
      <c r="U23" s="14" t="str">
        <f>VLOOKUP('2025'!T23,Julian!$A$3:$G$367,7,FALSE)</f>
        <v>25NO28</v>
      </c>
      <c r="V23" s="18">
        <v>45890</v>
      </c>
      <c r="W23" s="13">
        <f t="shared" si="7"/>
        <v>46020</v>
      </c>
      <c r="X23" s="14" t="str">
        <f>VLOOKUP('2025'!W23,Julian!$A$3:$G$367,7,FALSE)</f>
        <v>25DE29</v>
      </c>
      <c r="Y23" s="18">
        <v>45921</v>
      </c>
      <c r="Z23" s="13">
        <f t="shared" si="8"/>
        <v>46051</v>
      </c>
      <c r="AA23" s="14" t="str">
        <f>VLOOKUP('2025'!Z23,Julian!$A$3:$G$367,7,FALSE)</f>
        <v>26JA29</v>
      </c>
      <c r="AB23" s="18">
        <v>45951</v>
      </c>
      <c r="AC23" s="13">
        <f t="shared" si="9"/>
        <v>46081</v>
      </c>
      <c r="AD23" s="14" t="str">
        <f>VLOOKUP('2025'!AC23,Julian!$A$3:$G$367,7,FALSE)</f>
        <v>26FE28</v>
      </c>
      <c r="AE23" s="18">
        <v>45982</v>
      </c>
      <c r="AF23" s="13">
        <f t="shared" si="10"/>
        <v>46112</v>
      </c>
      <c r="AG23" s="14" t="str">
        <f>VLOOKUP('2025'!AF23,Julian!$A$3:$G$367,7,FALSE)</f>
        <v>26MR31</v>
      </c>
      <c r="AH23" s="18">
        <v>46012</v>
      </c>
      <c r="AI23" s="13">
        <f t="shared" si="11"/>
        <v>46142</v>
      </c>
      <c r="AJ23" s="14" t="str">
        <f>VLOOKUP('2025'!AI23,Julian!$A$3:$G$367,7,FALSE)</f>
        <v>26AL30</v>
      </c>
    </row>
    <row r="24" spans="1:36" ht="18.75">
      <c r="A24" s="18">
        <v>45679</v>
      </c>
      <c r="B24" s="11">
        <f t="shared" si="0"/>
        <v>45809</v>
      </c>
      <c r="C24" s="12" t="str">
        <f>VLOOKUP('2025'!B24,Julian!$A$3:$G$367,7,FALSE)</f>
        <v>25JN01</v>
      </c>
      <c r="D24" s="18">
        <v>45710</v>
      </c>
      <c r="E24" s="11">
        <f t="shared" si="1"/>
        <v>45840</v>
      </c>
      <c r="F24" s="12" t="str">
        <f>VLOOKUP('2025'!E24,Julian!$A$3:$G$367,7,FALSE)</f>
        <v>25JL02</v>
      </c>
      <c r="G24" s="18">
        <v>45738</v>
      </c>
      <c r="H24" s="11">
        <f t="shared" si="2"/>
        <v>45868</v>
      </c>
      <c r="I24" s="12" t="str">
        <f>VLOOKUP('2025'!H24,Julian!$A$3:$G$367,7,FALSE)</f>
        <v>25JL30</v>
      </c>
      <c r="J24" s="18">
        <v>45769</v>
      </c>
      <c r="K24" s="11">
        <f t="shared" si="3"/>
        <v>45899</v>
      </c>
      <c r="L24" s="12" t="str">
        <f>VLOOKUP('2025'!K24,Julian!$A$3:$G$367,7,FALSE)</f>
        <v>25AU30</v>
      </c>
      <c r="M24" s="18">
        <v>45799</v>
      </c>
      <c r="N24" s="11">
        <f t="shared" si="4"/>
        <v>45929</v>
      </c>
      <c r="O24" s="12" t="str">
        <f>VLOOKUP('2025'!N24,Julian!$A$3:$G$367,7,FALSE)</f>
        <v>25SE29</v>
      </c>
      <c r="P24" s="18">
        <v>45830</v>
      </c>
      <c r="Q24" s="11">
        <f t="shared" si="5"/>
        <v>45960</v>
      </c>
      <c r="R24" s="12" t="str">
        <f>VLOOKUP('2025'!Q24,Julian!$A$3:$G$367,7,FALSE)</f>
        <v>25OC30</v>
      </c>
      <c r="S24" s="18">
        <v>45860</v>
      </c>
      <c r="T24" s="13">
        <f t="shared" si="6"/>
        <v>45990</v>
      </c>
      <c r="U24" s="14" t="str">
        <f>VLOOKUP('2025'!T24,Julian!$A$3:$G$367,7,FALSE)</f>
        <v>25NO29</v>
      </c>
      <c r="V24" s="18">
        <v>45891</v>
      </c>
      <c r="W24" s="13">
        <f t="shared" si="7"/>
        <v>46021</v>
      </c>
      <c r="X24" s="14" t="str">
        <f>VLOOKUP('2025'!W24,Julian!$A$3:$G$367,7,FALSE)</f>
        <v>25DE30</v>
      </c>
      <c r="Y24" s="18">
        <v>45922</v>
      </c>
      <c r="Z24" s="13">
        <f t="shared" si="8"/>
        <v>46052</v>
      </c>
      <c r="AA24" s="14" t="str">
        <f>VLOOKUP('2025'!Z24,Julian!$A$3:$G$367,7,FALSE)</f>
        <v>26JA30</v>
      </c>
      <c r="AB24" s="18">
        <v>45952</v>
      </c>
      <c r="AC24" s="13">
        <f t="shared" si="9"/>
        <v>46082</v>
      </c>
      <c r="AD24" s="14" t="str">
        <f>VLOOKUP('2025'!AC24,Julian!$A$3:$G$367,7,FALSE)</f>
        <v>26MR01</v>
      </c>
      <c r="AE24" s="18">
        <v>45983</v>
      </c>
      <c r="AF24" s="13">
        <f t="shared" si="10"/>
        <v>46113</v>
      </c>
      <c r="AG24" s="14" t="str">
        <f>VLOOKUP('2025'!AF24,Julian!$A$3:$G$367,7,FALSE)</f>
        <v>26AL01</v>
      </c>
      <c r="AH24" s="18">
        <v>46013</v>
      </c>
      <c r="AI24" s="13">
        <f t="shared" si="11"/>
        <v>46143</v>
      </c>
      <c r="AJ24" s="14" t="str">
        <f>VLOOKUP('2025'!AI24,Julian!$A$3:$G$367,7,FALSE)</f>
        <v>26MA01</v>
      </c>
    </row>
    <row r="25" spans="1:36" ht="18.75">
      <c r="A25" s="18">
        <v>45680</v>
      </c>
      <c r="B25" s="11">
        <f t="shared" si="0"/>
        <v>45810</v>
      </c>
      <c r="C25" s="12" t="str">
        <f>VLOOKUP('2025'!B25,Julian!$A$3:$G$367,7,FALSE)</f>
        <v>25JN02</v>
      </c>
      <c r="D25" s="18">
        <v>45711</v>
      </c>
      <c r="E25" s="11">
        <f t="shared" si="1"/>
        <v>45841</v>
      </c>
      <c r="F25" s="12" t="str">
        <f>VLOOKUP('2025'!E25,Julian!$A$3:$G$367,7,FALSE)</f>
        <v>25JL03</v>
      </c>
      <c r="G25" s="18">
        <v>45739</v>
      </c>
      <c r="H25" s="11">
        <f t="shared" si="2"/>
        <v>45869</v>
      </c>
      <c r="I25" s="12" t="str">
        <f>VLOOKUP('2025'!H25,Julian!$A$3:$G$367,7,FALSE)</f>
        <v>25JL31</v>
      </c>
      <c r="J25" s="18">
        <v>45770</v>
      </c>
      <c r="K25" s="11">
        <f t="shared" si="3"/>
        <v>45900</v>
      </c>
      <c r="L25" s="12" t="str">
        <f>VLOOKUP('2025'!K25,Julian!$A$3:$G$367,7,FALSE)</f>
        <v>25AU31</v>
      </c>
      <c r="M25" s="18">
        <v>45800</v>
      </c>
      <c r="N25" s="11">
        <f t="shared" si="4"/>
        <v>45930</v>
      </c>
      <c r="O25" s="12" t="str">
        <f>VLOOKUP('2025'!N25,Julian!$A$3:$G$367,7,FALSE)</f>
        <v>25SE30</v>
      </c>
      <c r="P25" s="18">
        <v>45831</v>
      </c>
      <c r="Q25" s="11">
        <f t="shared" si="5"/>
        <v>45961</v>
      </c>
      <c r="R25" s="12" t="str">
        <f>VLOOKUP('2025'!Q25,Julian!$A$3:$G$367,7,FALSE)</f>
        <v>25OC31</v>
      </c>
      <c r="S25" s="18">
        <v>45861</v>
      </c>
      <c r="T25" s="13">
        <f t="shared" si="6"/>
        <v>45991</v>
      </c>
      <c r="U25" s="14" t="str">
        <f>VLOOKUP('2025'!T25,Julian!$A$3:$G$367,7,FALSE)</f>
        <v>25NO30</v>
      </c>
      <c r="V25" s="18">
        <v>45892</v>
      </c>
      <c r="W25" s="13">
        <f t="shared" si="7"/>
        <v>46022</v>
      </c>
      <c r="X25" s="14" t="str">
        <f>VLOOKUP('2025'!W25,Julian!$A$3:$G$367,7,FALSE)</f>
        <v>25DE31</v>
      </c>
      <c r="Y25" s="18">
        <v>45923</v>
      </c>
      <c r="Z25" s="13">
        <f t="shared" si="8"/>
        <v>46053</v>
      </c>
      <c r="AA25" s="14" t="str">
        <f>VLOOKUP('2025'!Z25,Julian!$A$3:$G$367,7,FALSE)</f>
        <v>26JA31</v>
      </c>
      <c r="AB25" s="18">
        <v>45953</v>
      </c>
      <c r="AC25" s="13">
        <f t="shared" si="9"/>
        <v>46083</v>
      </c>
      <c r="AD25" s="14" t="str">
        <f>VLOOKUP('2025'!AC25,Julian!$A$3:$G$367,7,FALSE)</f>
        <v>26MR02</v>
      </c>
      <c r="AE25" s="18">
        <v>45984</v>
      </c>
      <c r="AF25" s="13">
        <f t="shared" si="10"/>
        <v>46114</v>
      </c>
      <c r="AG25" s="14" t="str">
        <f>VLOOKUP('2025'!AF25,Julian!$A$3:$G$367,7,FALSE)</f>
        <v>26AL02</v>
      </c>
      <c r="AH25" s="18">
        <v>46014</v>
      </c>
      <c r="AI25" s="13">
        <f t="shared" si="11"/>
        <v>46144</v>
      </c>
      <c r="AJ25" s="14" t="str">
        <f>VLOOKUP('2025'!AI25,Julian!$A$3:$G$367,7,FALSE)</f>
        <v>26MA02</v>
      </c>
    </row>
    <row r="26" spans="1:36" ht="18.75">
      <c r="A26" s="18">
        <v>45681</v>
      </c>
      <c r="B26" s="11">
        <f t="shared" si="0"/>
        <v>45811</v>
      </c>
      <c r="C26" s="12" t="str">
        <f>VLOOKUP('2025'!B26,Julian!$A$3:$G$367,7,FALSE)</f>
        <v>25JN03</v>
      </c>
      <c r="D26" s="18">
        <v>45712</v>
      </c>
      <c r="E26" s="11">
        <f t="shared" si="1"/>
        <v>45842</v>
      </c>
      <c r="F26" s="12" t="str">
        <f>VLOOKUP('2025'!E26,Julian!$A$3:$G$367,7,FALSE)</f>
        <v>25JL04</v>
      </c>
      <c r="G26" s="18">
        <v>45740</v>
      </c>
      <c r="H26" s="11">
        <f t="shared" si="2"/>
        <v>45870</v>
      </c>
      <c r="I26" s="12" t="str">
        <f>VLOOKUP('2025'!H26,Julian!$A$3:$G$367,7,FALSE)</f>
        <v>25AU01</v>
      </c>
      <c r="J26" s="18">
        <v>45771</v>
      </c>
      <c r="K26" s="11">
        <f t="shared" si="3"/>
        <v>45901</v>
      </c>
      <c r="L26" s="12" t="str">
        <f>VLOOKUP('2025'!K26,Julian!$A$3:$G$367,7,FALSE)</f>
        <v>25SE01</v>
      </c>
      <c r="M26" s="18">
        <v>45801</v>
      </c>
      <c r="N26" s="11">
        <f t="shared" si="4"/>
        <v>45931</v>
      </c>
      <c r="O26" s="12" t="str">
        <f>VLOOKUP('2025'!N26,Julian!$A$3:$G$367,7,FALSE)</f>
        <v>25OC01</v>
      </c>
      <c r="P26" s="18">
        <v>45832</v>
      </c>
      <c r="Q26" s="11">
        <f t="shared" si="5"/>
        <v>45962</v>
      </c>
      <c r="R26" s="12" t="str">
        <f>VLOOKUP('2025'!Q26,Julian!$A$3:$G$367,7,FALSE)</f>
        <v>25NO01</v>
      </c>
      <c r="S26" s="18">
        <v>45862</v>
      </c>
      <c r="T26" s="13">
        <f t="shared" si="6"/>
        <v>45992</v>
      </c>
      <c r="U26" s="14" t="str">
        <f>VLOOKUP('2025'!T26,Julian!$A$3:$G$367,7,FALSE)</f>
        <v>25DE01</v>
      </c>
      <c r="V26" s="18">
        <v>45893</v>
      </c>
      <c r="W26" s="13">
        <f t="shared" si="7"/>
        <v>46023</v>
      </c>
      <c r="X26" s="14" t="str">
        <f>VLOOKUP('2025'!W26,Julian!$A$3:$G$367,7,FALSE)</f>
        <v>26JA01</v>
      </c>
      <c r="Y26" s="18">
        <v>45924</v>
      </c>
      <c r="Z26" s="13">
        <f t="shared" si="8"/>
        <v>46054</v>
      </c>
      <c r="AA26" s="14" t="str">
        <f>VLOOKUP('2025'!Z26,Julian!$A$3:$G$367,7,FALSE)</f>
        <v>26FE01</v>
      </c>
      <c r="AB26" s="18">
        <v>45954</v>
      </c>
      <c r="AC26" s="13">
        <f t="shared" si="9"/>
        <v>46084</v>
      </c>
      <c r="AD26" s="14" t="str">
        <f>VLOOKUP('2025'!AC26,Julian!$A$3:$G$367,7,FALSE)</f>
        <v>26MR03</v>
      </c>
      <c r="AE26" s="18">
        <v>45985</v>
      </c>
      <c r="AF26" s="13">
        <f t="shared" si="10"/>
        <v>46115</v>
      </c>
      <c r="AG26" s="14" t="str">
        <f>VLOOKUP('2025'!AF26,Julian!$A$3:$G$367,7,FALSE)</f>
        <v>26AL03</v>
      </c>
      <c r="AH26" s="18">
        <v>46015</v>
      </c>
      <c r="AI26" s="13">
        <f t="shared" si="11"/>
        <v>46145</v>
      </c>
      <c r="AJ26" s="14" t="str">
        <f>VLOOKUP('2025'!AI26,Julian!$A$3:$G$367,7,FALSE)</f>
        <v>26MA03</v>
      </c>
    </row>
    <row r="27" spans="1:36" ht="18.75">
      <c r="A27" s="18">
        <v>45682</v>
      </c>
      <c r="B27" s="11">
        <f t="shared" si="0"/>
        <v>45812</v>
      </c>
      <c r="C27" s="12" t="str">
        <f>VLOOKUP('2025'!B27,Julian!$A$3:$G$367,7,FALSE)</f>
        <v>25JN04</v>
      </c>
      <c r="D27" s="18">
        <v>45713</v>
      </c>
      <c r="E27" s="11">
        <f t="shared" si="1"/>
        <v>45843</v>
      </c>
      <c r="F27" s="12" t="str">
        <f>VLOOKUP('2025'!E27,Julian!$A$3:$G$367,7,FALSE)</f>
        <v>25JL05</v>
      </c>
      <c r="G27" s="18">
        <v>45741</v>
      </c>
      <c r="H27" s="11">
        <f t="shared" si="2"/>
        <v>45871</v>
      </c>
      <c r="I27" s="12" t="str">
        <f>VLOOKUP('2025'!H27,Julian!$A$3:$G$367,7,FALSE)</f>
        <v>25AU02</v>
      </c>
      <c r="J27" s="18">
        <v>45772</v>
      </c>
      <c r="K27" s="11">
        <f t="shared" si="3"/>
        <v>45902</v>
      </c>
      <c r="L27" s="12" t="str">
        <f>VLOOKUP('2025'!K27,Julian!$A$3:$G$367,7,FALSE)</f>
        <v>25SE02</v>
      </c>
      <c r="M27" s="18">
        <v>45802</v>
      </c>
      <c r="N27" s="11">
        <f t="shared" si="4"/>
        <v>45932</v>
      </c>
      <c r="O27" s="12" t="str">
        <f>VLOOKUP('2025'!N27,Julian!$A$3:$G$367,7,FALSE)</f>
        <v>25OC02</v>
      </c>
      <c r="P27" s="18">
        <v>45833</v>
      </c>
      <c r="Q27" s="11">
        <f t="shared" si="5"/>
        <v>45963</v>
      </c>
      <c r="R27" s="12" t="str">
        <f>VLOOKUP('2025'!Q27,Julian!$A$3:$G$367,7,FALSE)</f>
        <v>25NO02</v>
      </c>
      <c r="S27" s="18">
        <v>45863</v>
      </c>
      <c r="T27" s="13">
        <f t="shared" si="6"/>
        <v>45993</v>
      </c>
      <c r="U27" s="14" t="str">
        <f>VLOOKUP('2025'!T27,Julian!$A$3:$G$367,7,FALSE)</f>
        <v>25DE02</v>
      </c>
      <c r="V27" s="18">
        <v>45894</v>
      </c>
      <c r="W27" s="13">
        <f t="shared" si="7"/>
        <v>46024</v>
      </c>
      <c r="X27" s="14" t="str">
        <f>VLOOKUP('2025'!W27,Julian!$A$3:$G$367,7,FALSE)</f>
        <v>26JA02</v>
      </c>
      <c r="Y27" s="18">
        <v>45925</v>
      </c>
      <c r="Z27" s="13">
        <f t="shared" si="8"/>
        <v>46055</v>
      </c>
      <c r="AA27" s="14" t="str">
        <f>VLOOKUP('2025'!Z27,Julian!$A$3:$G$367,7,FALSE)</f>
        <v>26FE02</v>
      </c>
      <c r="AB27" s="18">
        <v>45955</v>
      </c>
      <c r="AC27" s="13">
        <f t="shared" si="9"/>
        <v>46085</v>
      </c>
      <c r="AD27" s="14" t="str">
        <f>VLOOKUP('2025'!AC27,Julian!$A$3:$G$367,7,FALSE)</f>
        <v>26MR04</v>
      </c>
      <c r="AE27" s="18">
        <v>45986</v>
      </c>
      <c r="AF27" s="13">
        <f t="shared" si="10"/>
        <v>46116</v>
      </c>
      <c r="AG27" s="14" t="str">
        <f>VLOOKUP('2025'!AF27,Julian!$A$3:$G$367,7,FALSE)</f>
        <v>26AL04</v>
      </c>
      <c r="AH27" s="18">
        <v>46016</v>
      </c>
      <c r="AI27" s="13">
        <f t="shared" si="11"/>
        <v>46146</v>
      </c>
      <c r="AJ27" s="14" t="str">
        <f>VLOOKUP('2025'!AI27,Julian!$A$3:$G$367,7,FALSE)</f>
        <v>26MA04</v>
      </c>
    </row>
    <row r="28" spans="1:36" ht="18.75">
      <c r="A28" s="18">
        <v>45683</v>
      </c>
      <c r="B28" s="11">
        <f t="shared" si="0"/>
        <v>45813</v>
      </c>
      <c r="C28" s="12" t="str">
        <f>VLOOKUP('2025'!B28,Julian!$A$3:$G$367,7,FALSE)</f>
        <v>25JN05</v>
      </c>
      <c r="D28" s="18">
        <v>45714</v>
      </c>
      <c r="E28" s="11">
        <f t="shared" si="1"/>
        <v>45844</v>
      </c>
      <c r="F28" s="12" t="str">
        <f>VLOOKUP('2025'!E28,Julian!$A$3:$G$367,7,FALSE)</f>
        <v>25JL06</v>
      </c>
      <c r="G28" s="18">
        <v>45742</v>
      </c>
      <c r="H28" s="11">
        <f t="shared" si="2"/>
        <v>45872</v>
      </c>
      <c r="I28" s="12" t="str">
        <f>VLOOKUP('2025'!H28,Julian!$A$3:$G$367,7,FALSE)</f>
        <v>25AU03</v>
      </c>
      <c r="J28" s="18">
        <v>45773</v>
      </c>
      <c r="K28" s="11">
        <f t="shared" si="3"/>
        <v>45903</v>
      </c>
      <c r="L28" s="12" t="str">
        <f>VLOOKUP('2025'!K28,Julian!$A$3:$G$367,7,FALSE)</f>
        <v>25SE03</v>
      </c>
      <c r="M28" s="18">
        <v>45803</v>
      </c>
      <c r="N28" s="11">
        <f t="shared" si="4"/>
        <v>45933</v>
      </c>
      <c r="O28" s="12" t="str">
        <f>VLOOKUP('2025'!N28,Julian!$A$3:$G$367,7,FALSE)</f>
        <v>25OC03</v>
      </c>
      <c r="P28" s="18">
        <v>45834</v>
      </c>
      <c r="Q28" s="11">
        <f t="shared" si="5"/>
        <v>45964</v>
      </c>
      <c r="R28" s="12" t="str">
        <f>VLOOKUP('2025'!Q28,Julian!$A$3:$G$367,7,FALSE)</f>
        <v>25NO03</v>
      </c>
      <c r="S28" s="18">
        <v>45864</v>
      </c>
      <c r="T28" s="13">
        <f t="shared" si="6"/>
        <v>45994</v>
      </c>
      <c r="U28" s="14" t="str">
        <f>VLOOKUP('2025'!T28,Julian!$A$3:$G$367,7,FALSE)</f>
        <v>25DE03</v>
      </c>
      <c r="V28" s="18">
        <v>45895</v>
      </c>
      <c r="W28" s="13">
        <f t="shared" si="7"/>
        <v>46025</v>
      </c>
      <c r="X28" s="14" t="str">
        <f>VLOOKUP('2025'!W28,Julian!$A$3:$G$367,7,FALSE)</f>
        <v>26JA03</v>
      </c>
      <c r="Y28" s="18">
        <v>45926</v>
      </c>
      <c r="Z28" s="13">
        <f t="shared" si="8"/>
        <v>46056</v>
      </c>
      <c r="AA28" s="14" t="str">
        <f>VLOOKUP('2025'!Z28,Julian!$A$3:$G$367,7,FALSE)</f>
        <v>26FE03</v>
      </c>
      <c r="AB28" s="18">
        <v>45956</v>
      </c>
      <c r="AC28" s="13">
        <f t="shared" si="9"/>
        <v>46086</v>
      </c>
      <c r="AD28" s="14" t="str">
        <f>VLOOKUP('2025'!AC28,Julian!$A$3:$G$367,7,FALSE)</f>
        <v>26MR05</v>
      </c>
      <c r="AE28" s="18">
        <v>45987</v>
      </c>
      <c r="AF28" s="13">
        <f t="shared" si="10"/>
        <v>46117</v>
      </c>
      <c r="AG28" s="14" t="str">
        <f>VLOOKUP('2025'!AF28,Julian!$A$3:$G$367,7,FALSE)</f>
        <v>26AL05</v>
      </c>
      <c r="AH28" s="18">
        <v>46017</v>
      </c>
      <c r="AI28" s="13">
        <f t="shared" si="11"/>
        <v>46147</v>
      </c>
      <c r="AJ28" s="14" t="str">
        <f>VLOOKUP('2025'!AI28,Julian!$A$3:$G$367,7,FALSE)</f>
        <v>26MA05</v>
      </c>
    </row>
    <row r="29" spans="1:36" ht="18.75">
      <c r="A29" s="18">
        <v>45684</v>
      </c>
      <c r="B29" s="11">
        <f t="shared" si="0"/>
        <v>45814</v>
      </c>
      <c r="C29" s="12" t="str">
        <f>VLOOKUP('2025'!B29,Julian!$A$3:$G$367,7,FALSE)</f>
        <v>25JN06</v>
      </c>
      <c r="D29" s="18">
        <v>45715</v>
      </c>
      <c r="E29" s="11">
        <f t="shared" si="1"/>
        <v>45845</v>
      </c>
      <c r="F29" s="12" t="str">
        <f>VLOOKUP('2025'!E29,Julian!$A$3:$G$367,7,FALSE)</f>
        <v>25JL07</v>
      </c>
      <c r="G29" s="18">
        <v>45743</v>
      </c>
      <c r="H29" s="11">
        <f t="shared" si="2"/>
        <v>45873</v>
      </c>
      <c r="I29" s="12" t="str">
        <f>VLOOKUP('2025'!H29,Julian!$A$3:$G$367,7,FALSE)</f>
        <v>25AU04</v>
      </c>
      <c r="J29" s="18">
        <v>45774</v>
      </c>
      <c r="K29" s="11">
        <f t="shared" si="3"/>
        <v>45904</v>
      </c>
      <c r="L29" s="12" t="str">
        <f>VLOOKUP('2025'!K29,Julian!$A$3:$G$367,7,FALSE)</f>
        <v>25SE04</v>
      </c>
      <c r="M29" s="18">
        <v>45804</v>
      </c>
      <c r="N29" s="11">
        <f t="shared" si="4"/>
        <v>45934</v>
      </c>
      <c r="O29" s="12" t="str">
        <f>VLOOKUP('2025'!N29,Julian!$A$3:$G$367,7,FALSE)</f>
        <v>25OC04</v>
      </c>
      <c r="P29" s="18">
        <v>45835</v>
      </c>
      <c r="Q29" s="11">
        <f t="shared" si="5"/>
        <v>45965</v>
      </c>
      <c r="R29" s="12" t="str">
        <f>VLOOKUP('2025'!Q29,Julian!$A$3:$G$367,7,FALSE)</f>
        <v>25NO04</v>
      </c>
      <c r="S29" s="18">
        <v>45865</v>
      </c>
      <c r="T29" s="13">
        <f t="shared" si="6"/>
        <v>45995</v>
      </c>
      <c r="U29" s="14" t="str">
        <f>VLOOKUP('2025'!T29,Julian!$A$3:$G$367,7,FALSE)</f>
        <v>25DE04</v>
      </c>
      <c r="V29" s="18">
        <v>45896</v>
      </c>
      <c r="W29" s="13">
        <f t="shared" si="7"/>
        <v>46026</v>
      </c>
      <c r="X29" s="14" t="str">
        <f>VLOOKUP('2025'!W29,Julian!$A$3:$G$367,7,FALSE)</f>
        <v>26JA04</v>
      </c>
      <c r="Y29" s="18">
        <v>45927</v>
      </c>
      <c r="Z29" s="13">
        <f t="shared" si="8"/>
        <v>46057</v>
      </c>
      <c r="AA29" s="14" t="str">
        <f>VLOOKUP('2025'!Z29,Julian!$A$3:$G$367,7,FALSE)</f>
        <v>26FE04</v>
      </c>
      <c r="AB29" s="18">
        <v>45957</v>
      </c>
      <c r="AC29" s="13">
        <f t="shared" si="9"/>
        <v>46087</v>
      </c>
      <c r="AD29" s="14" t="str">
        <f>VLOOKUP('2025'!AC29,Julian!$A$3:$G$367,7,FALSE)</f>
        <v>26MR06</v>
      </c>
      <c r="AE29" s="18">
        <v>45988</v>
      </c>
      <c r="AF29" s="13">
        <f t="shared" si="10"/>
        <v>46118</v>
      </c>
      <c r="AG29" s="14" t="str">
        <f>VLOOKUP('2025'!AF29,Julian!$A$3:$G$367,7,FALSE)</f>
        <v>26AL06</v>
      </c>
      <c r="AH29" s="18">
        <v>46018</v>
      </c>
      <c r="AI29" s="13">
        <f t="shared" si="11"/>
        <v>46148</v>
      </c>
      <c r="AJ29" s="14" t="str">
        <f>VLOOKUP('2025'!AI29,Julian!$A$3:$G$367,7,FALSE)</f>
        <v>26MA06</v>
      </c>
    </row>
    <row r="30" spans="1:36" ht="18.75">
      <c r="A30" s="18">
        <v>45685</v>
      </c>
      <c r="B30" s="11">
        <f t="shared" si="0"/>
        <v>45815</v>
      </c>
      <c r="C30" s="12" t="str">
        <f>VLOOKUP('2025'!B30,Julian!$A$3:$G$367,7,FALSE)</f>
        <v>25JN07</v>
      </c>
      <c r="D30" s="18">
        <v>45716</v>
      </c>
      <c r="E30" s="11">
        <f t="shared" si="1"/>
        <v>45846</v>
      </c>
      <c r="F30" s="12" t="str">
        <f>VLOOKUP('2025'!E30,Julian!$A$3:$G$367,7,FALSE)</f>
        <v>25JL08</v>
      </c>
      <c r="G30" s="18">
        <v>45744</v>
      </c>
      <c r="H30" s="11">
        <f t="shared" si="2"/>
        <v>45874</v>
      </c>
      <c r="I30" s="12" t="str">
        <f>VLOOKUP('2025'!H30,Julian!$A$3:$G$367,7,FALSE)</f>
        <v>25AU05</v>
      </c>
      <c r="J30" s="18">
        <v>45775</v>
      </c>
      <c r="K30" s="11">
        <f t="shared" si="3"/>
        <v>45905</v>
      </c>
      <c r="L30" s="12" t="str">
        <f>VLOOKUP('2025'!K30,Julian!$A$3:$G$367,7,FALSE)</f>
        <v>25SE05</v>
      </c>
      <c r="M30" s="18">
        <v>45805</v>
      </c>
      <c r="N30" s="11">
        <f t="shared" si="4"/>
        <v>45935</v>
      </c>
      <c r="O30" s="12" t="str">
        <f>VLOOKUP('2025'!N30,Julian!$A$3:$G$367,7,FALSE)</f>
        <v>25OC05</v>
      </c>
      <c r="P30" s="18">
        <v>45836</v>
      </c>
      <c r="Q30" s="11">
        <f t="shared" si="5"/>
        <v>45966</v>
      </c>
      <c r="R30" s="12" t="str">
        <f>VLOOKUP('2025'!Q30,Julian!$A$3:$G$367,7,FALSE)</f>
        <v>25NO05</v>
      </c>
      <c r="S30" s="18">
        <v>45866</v>
      </c>
      <c r="T30" s="13">
        <f t="shared" si="6"/>
        <v>45996</v>
      </c>
      <c r="U30" s="14" t="str">
        <f>VLOOKUP('2025'!T30,Julian!$A$3:$G$367,7,FALSE)</f>
        <v>25DE05</v>
      </c>
      <c r="V30" s="18">
        <v>45897</v>
      </c>
      <c r="W30" s="13">
        <f t="shared" si="7"/>
        <v>46027</v>
      </c>
      <c r="X30" s="14" t="str">
        <f>VLOOKUP('2025'!W30,Julian!$A$3:$G$367,7,FALSE)</f>
        <v>26JA05</v>
      </c>
      <c r="Y30" s="18">
        <v>45928</v>
      </c>
      <c r="Z30" s="13">
        <f t="shared" si="8"/>
        <v>46058</v>
      </c>
      <c r="AA30" s="14" t="str">
        <f>VLOOKUP('2025'!Z30,Julian!$A$3:$G$367,7,FALSE)</f>
        <v>26FE05</v>
      </c>
      <c r="AB30" s="18">
        <v>45958</v>
      </c>
      <c r="AC30" s="13">
        <f t="shared" si="9"/>
        <v>46088</v>
      </c>
      <c r="AD30" s="14" t="str">
        <f>VLOOKUP('2025'!AC30,Julian!$A$3:$G$367,7,FALSE)</f>
        <v>26MR07</v>
      </c>
      <c r="AE30" s="18">
        <v>45989</v>
      </c>
      <c r="AF30" s="13">
        <f t="shared" si="10"/>
        <v>46119</v>
      </c>
      <c r="AG30" s="14" t="str">
        <f>VLOOKUP('2025'!AF30,Julian!$A$3:$G$367,7,FALSE)</f>
        <v>26AL07</v>
      </c>
      <c r="AH30" s="18">
        <v>46019</v>
      </c>
      <c r="AI30" s="13">
        <f t="shared" si="11"/>
        <v>46149</v>
      </c>
      <c r="AJ30" s="14" t="str">
        <f>VLOOKUP('2025'!AI30,Julian!$A$3:$G$367,7,FALSE)</f>
        <v>26MA07</v>
      </c>
    </row>
    <row r="31" spans="1:36" ht="18.75">
      <c r="A31" s="18">
        <v>45686</v>
      </c>
      <c r="B31" s="11">
        <f t="shared" si="0"/>
        <v>45816</v>
      </c>
      <c r="C31" s="12" t="str">
        <f>VLOOKUP('2025'!B31,Julian!$A$3:$G$367,7,FALSE)</f>
        <v>25JN08</v>
      </c>
      <c r="D31" s="20"/>
      <c r="E31" s="11"/>
      <c r="F31" s="12"/>
      <c r="G31" s="18">
        <v>45745</v>
      </c>
      <c r="H31" s="11">
        <f t="shared" si="2"/>
        <v>45875</v>
      </c>
      <c r="I31" s="12" t="str">
        <f>VLOOKUP('2025'!H31,Julian!$A$3:$G$367,7,FALSE)</f>
        <v>25AU06</v>
      </c>
      <c r="J31" s="18">
        <v>45776</v>
      </c>
      <c r="K31" s="11">
        <f t="shared" si="3"/>
        <v>45906</v>
      </c>
      <c r="L31" s="12" t="str">
        <f>VLOOKUP('2025'!K31,Julian!$A$3:$G$367,7,FALSE)</f>
        <v>25SE06</v>
      </c>
      <c r="M31" s="18">
        <v>45806</v>
      </c>
      <c r="N31" s="11">
        <f t="shared" si="4"/>
        <v>45936</v>
      </c>
      <c r="O31" s="12" t="str">
        <f>VLOOKUP('2025'!N31,Julian!$A$3:$G$367,7,FALSE)</f>
        <v>25OC06</v>
      </c>
      <c r="P31" s="18">
        <v>45837</v>
      </c>
      <c r="Q31" s="11">
        <f t="shared" si="5"/>
        <v>45967</v>
      </c>
      <c r="R31" s="12" t="str">
        <f>VLOOKUP('2025'!Q31,Julian!$A$3:$G$367,7,FALSE)</f>
        <v>25NO06</v>
      </c>
      <c r="S31" s="18">
        <v>45867</v>
      </c>
      <c r="T31" s="13">
        <f t="shared" si="6"/>
        <v>45997</v>
      </c>
      <c r="U31" s="14" t="str">
        <f>VLOOKUP('2025'!T31,Julian!$A$3:$G$367,7,FALSE)</f>
        <v>25DE06</v>
      </c>
      <c r="V31" s="18">
        <v>45898</v>
      </c>
      <c r="W31" s="13">
        <f t="shared" si="7"/>
        <v>46028</v>
      </c>
      <c r="X31" s="14" t="str">
        <f>VLOOKUP('2025'!W31,Julian!$A$3:$G$367,7,FALSE)</f>
        <v>26JA06</v>
      </c>
      <c r="Y31" s="18">
        <v>45929</v>
      </c>
      <c r="Z31" s="13">
        <f t="shared" si="8"/>
        <v>46059</v>
      </c>
      <c r="AA31" s="14" t="str">
        <f>VLOOKUP('2025'!Z31,Julian!$A$3:$G$367,7,FALSE)</f>
        <v>26FE06</v>
      </c>
      <c r="AB31" s="18">
        <v>45959</v>
      </c>
      <c r="AC31" s="13">
        <f t="shared" si="9"/>
        <v>46089</v>
      </c>
      <c r="AD31" s="14" t="str">
        <f>VLOOKUP('2025'!AC31,Julian!$A$3:$G$367,7,FALSE)</f>
        <v>26MR08</v>
      </c>
      <c r="AE31" s="18">
        <v>45990</v>
      </c>
      <c r="AF31" s="13">
        <f t="shared" si="10"/>
        <v>46120</v>
      </c>
      <c r="AG31" s="14" t="str">
        <f>VLOOKUP('2025'!AF31,Julian!$A$3:$G$367,7,FALSE)</f>
        <v>26AL08</v>
      </c>
      <c r="AH31" s="18">
        <v>46020</v>
      </c>
      <c r="AI31" s="13">
        <f t="shared" si="11"/>
        <v>46150</v>
      </c>
      <c r="AJ31" s="14" t="str">
        <f>VLOOKUP('2025'!AI31,Julian!$A$3:$G$367,7,FALSE)</f>
        <v>26MA08</v>
      </c>
    </row>
    <row r="32" spans="1:36" ht="18.75">
      <c r="A32" s="18">
        <v>45687</v>
      </c>
      <c r="B32" s="11">
        <f t="shared" si="0"/>
        <v>45817</v>
      </c>
      <c r="C32" s="12" t="str">
        <f>VLOOKUP('2025'!B32,Julian!$A$3:$G$367,7,FALSE)</f>
        <v>25JN09</v>
      </c>
      <c r="D32" s="20"/>
      <c r="E32" s="11"/>
      <c r="F32" s="12"/>
      <c r="G32" s="18">
        <v>45746</v>
      </c>
      <c r="H32" s="11">
        <f t="shared" si="2"/>
        <v>45876</v>
      </c>
      <c r="I32" s="12" t="str">
        <f>VLOOKUP('2025'!H32,Julian!$A$3:$G$367,7,FALSE)</f>
        <v>25AU07</v>
      </c>
      <c r="J32" s="18">
        <v>45777</v>
      </c>
      <c r="K32" s="11">
        <f t="shared" si="3"/>
        <v>45907</v>
      </c>
      <c r="L32" s="12" t="str">
        <f>VLOOKUP('2025'!K32,Julian!$A$3:$G$367,7,FALSE)</f>
        <v>25SE07</v>
      </c>
      <c r="M32" s="18">
        <v>45807</v>
      </c>
      <c r="N32" s="11">
        <f t="shared" si="4"/>
        <v>45937</v>
      </c>
      <c r="O32" s="12" t="str">
        <f>VLOOKUP('2025'!N32,Julian!$A$3:$G$367,7,FALSE)</f>
        <v>25OC07</v>
      </c>
      <c r="P32" s="18">
        <v>45838</v>
      </c>
      <c r="Q32" s="11">
        <f t="shared" si="5"/>
        <v>45968</v>
      </c>
      <c r="R32" s="12" t="str">
        <f>VLOOKUP('2025'!Q32,Julian!$A$3:$G$367,7,FALSE)</f>
        <v>25NO07</v>
      </c>
      <c r="S32" s="18">
        <v>45868</v>
      </c>
      <c r="T32" s="13">
        <f t="shared" si="6"/>
        <v>45998</v>
      </c>
      <c r="U32" s="14" t="str">
        <f>VLOOKUP('2025'!T32,Julian!$A$3:$G$367,7,FALSE)</f>
        <v>25DE07</v>
      </c>
      <c r="V32" s="18">
        <v>45899</v>
      </c>
      <c r="W32" s="13">
        <f t="shared" si="7"/>
        <v>46029</v>
      </c>
      <c r="X32" s="14" t="str">
        <f>VLOOKUP('2025'!W32,Julian!$A$3:$G$367,7,FALSE)</f>
        <v>26JA07</v>
      </c>
      <c r="Y32" s="18">
        <v>45930</v>
      </c>
      <c r="Z32" s="13">
        <f t="shared" si="8"/>
        <v>46060</v>
      </c>
      <c r="AA32" s="14" t="str">
        <f>VLOOKUP('2025'!Z32,Julian!$A$3:$G$367,7,FALSE)</f>
        <v>26FE07</v>
      </c>
      <c r="AB32" s="18">
        <v>45960</v>
      </c>
      <c r="AC32" s="13">
        <f t="shared" si="9"/>
        <v>46090</v>
      </c>
      <c r="AD32" s="14" t="str">
        <f>VLOOKUP('2025'!AC32,Julian!$A$3:$G$367,7,FALSE)</f>
        <v>26MR09</v>
      </c>
      <c r="AE32" s="18">
        <v>45991</v>
      </c>
      <c r="AF32" s="13">
        <f t="shared" si="10"/>
        <v>46121</v>
      </c>
      <c r="AG32" s="14" t="str">
        <f>VLOOKUP('2025'!AF32,Julian!$A$3:$G$367,7,FALSE)</f>
        <v>26AL09</v>
      </c>
      <c r="AH32" s="18">
        <v>46021</v>
      </c>
      <c r="AI32" s="13">
        <f t="shared" si="11"/>
        <v>46151</v>
      </c>
      <c r="AJ32" s="14" t="str">
        <f>VLOOKUP('2025'!AI32,Julian!$A$3:$G$367,7,FALSE)</f>
        <v>26MA09</v>
      </c>
    </row>
    <row r="33" spans="1:36" ht="19.5" thickBot="1">
      <c r="A33" s="19">
        <v>45688</v>
      </c>
      <c r="B33" s="11">
        <f t="shared" si="0"/>
        <v>45818</v>
      </c>
      <c r="C33" s="15" t="str">
        <f>VLOOKUP('2025'!B33,Julian!$A$3:$G$367,7,FALSE)</f>
        <v>25JN10</v>
      </c>
      <c r="D33" s="21"/>
      <c r="E33" s="11"/>
      <c r="F33" s="15"/>
      <c r="G33" s="19">
        <v>45747</v>
      </c>
      <c r="H33" s="11">
        <f t="shared" si="2"/>
        <v>45877</v>
      </c>
      <c r="I33" s="15" t="str">
        <f>VLOOKUP('2025'!H33,Julian!$A$3:$G$367,7,FALSE)</f>
        <v>25AU08</v>
      </c>
      <c r="J33" s="21"/>
      <c r="K33" s="11"/>
      <c r="L33" s="15"/>
      <c r="M33" s="19">
        <v>45808</v>
      </c>
      <c r="N33" s="11">
        <f t="shared" si="4"/>
        <v>45938</v>
      </c>
      <c r="O33" s="15" t="str">
        <f>VLOOKUP('2025'!N33,Julian!$A$3:$G$367,7,FALSE)</f>
        <v>25OC08</v>
      </c>
      <c r="P33" s="21"/>
      <c r="Q33" s="11"/>
      <c r="R33" s="15"/>
      <c r="S33" s="19">
        <v>45869</v>
      </c>
      <c r="T33" s="13">
        <f t="shared" si="6"/>
        <v>45999</v>
      </c>
      <c r="U33" s="16" t="str">
        <f>VLOOKUP('2025'!T33,Julian!$A$3:$G$367,7,FALSE)</f>
        <v>25DE08</v>
      </c>
      <c r="V33" s="19">
        <v>45900</v>
      </c>
      <c r="W33" s="13">
        <f t="shared" si="7"/>
        <v>46030</v>
      </c>
      <c r="X33" s="16" t="str">
        <f>VLOOKUP('2025'!W33,Julian!$A$3:$G$367,7,FALSE)</f>
        <v>26JA08</v>
      </c>
      <c r="Y33" s="21"/>
      <c r="Z33" s="13"/>
      <c r="AA33" s="16"/>
      <c r="AB33" s="19">
        <v>45961</v>
      </c>
      <c r="AC33" s="13">
        <f t="shared" si="9"/>
        <v>46091</v>
      </c>
      <c r="AD33" s="16" t="str">
        <f>VLOOKUP('2025'!AC33,Julian!$A$3:$G$367,7,FALSE)</f>
        <v>26MR10</v>
      </c>
      <c r="AE33" s="21"/>
      <c r="AF33" s="13"/>
      <c r="AG33" s="16"/>
      <c r="AH33" s="19">
        <v>46022</v>
      </c>
      <c r="AI33" s="13">
        <f t="shared" si="11"/>
        <v>46152</v>
      </c>
      <c r="AJ33" s="16" t="str">
        <f>VLOOKUP('2025'!AI33,Julian!$A$3:$G$367,7,FALSE)</f>
        <v>26MA10</v>
      </c>
    </row>
    <row r="34" spans="1:36" ht="15" customHeight="1">
      <c r="A34" s="24" t="s">
        <v>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 t="s">
        <v>3</v>
      </c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</row>
    <row r="35" spans="1:36" ht="1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</sheetData>
  <mergeCells count="4">
    <mergeCell ref="A1:R1"/>
    <mergeCell ref="S1:AJ1"/>
    <mergeCell ref="A34:R35"/>
    <mergeCell ref="S34:AJ35"/>
  </mergeCells>
  <printOptions horizontalCentered="1" verticalCentered="1"/>
  <pageMargins left="0.25" right="0.25" top="0.25" bottom="0.25" header="0.05" footer="0.05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2EAF-9DD7-4DA4-A783-B0FC740A9403}">
  <dimension ref="A2:J367"/>
  <sheetViews>
    <sheetView topLeftCell="A333" workbookViewId="0">
      <selection activeCell="C3" sqref="C3:G367"/>
    </sheetView>
  </sheetViews>
  <sheetFormatPr defaultRowHeight="15"/>
  <cols>
    <col min="1" max="1" width="9.5703125" bestFit="1" customWidth="1"/>
    <col min="2" max="3" width="8.5703125" style="5" customWidth="1"/>
  </cols>
  <sheetData>
    <row r="2" spans="1:10" ht="15.75" thickBot="1"/>
    <row r="3" spans="1:10" ht="15.75" thickBot="1">
      <c r="A3" s="1">
        <f>+'2025'!B3</f>
        <v>45788</v>
      </c>
      <c r="B3" s="5">
        <f>DAY(A3)</f>
        <v>11</v>
      </c>
      <c r="C3" s="6" t="str">
        <f>TEXT(B3,"00")</f>
        <v>11</v>
      </c>
      <c r="D3" s="4" t="str">
        <f>+TEXT(A3,"mmm")</f>
        <v>May</v>
      </c>
      <c r="E3" t="str">
        <f>+TEXT(A3,"yy")</f>
        <v>25</v>
      </c>
      <c r="F3" t="str">
        <f>VLOOKUP(D3,$I$3:$J$14,2,FALSE)</f>
        <v>MA</v>
      </c>
      <c r="G3" t="str">
        <f>+E3&amp;F3&amp;C3</f>
        <v>25MA11</v>
      </c>
      <c r="I3" s="3" t="s">
        <v>4</v>
      </c>
      <c r="J3" s="2" t="s">
        <v>5</v>
      </c>
    </row>
    <row r="4" spans="1:10" ht="15.75" thickBot="1">
      <c r="A4" s="1">
        <f>+'2025'!B4</f>
        <v>45789</v>
      </c>
      <c r="B4" s="5">
        <f t="shared" ref="B4:B67" si="0">DAY(A4)</f>
        <v>12</v>
      </c>
      <c r="C4" s="6" t="str">
        <f t="shared" ref="C4:C67" si="1">TEXT(B4,"00")</f>
        <v>12</v>
      </c>
      <c r="D4" s="4" t="str">
        <f t="shared" ref="D4:D18" si="2">+TEXT(A4,"mmm")</f>
        <v>May</v>
      </c>
      <c r="E4" t="str">
        <f t="shared" ref="E4:E18" si="3">+TEXT(A4,"yy")</f>
        <v>25</v>
      </c>
      <c r="F4" t="str">
        <f t="shared" ref="F4:F18" si="4">VLOOKUP(D4,$I$3:$J$14,2,FALSE)</f>
        <v>MA</v>
      </c>
      <c r="G4" t="str">
        <f t="shared" ref="G4:G18" si="5">+E4&amp;F4&amp;C4</f>
        <v>25MA12</v>
      </c>
      <c r="I4" s="3" t="s">
        <v>6</v>
      </c>
      <c r="J4" s="2" t="s">
        <v>7</v>
      </c>
    </row>
    <row r="5" spans="1:10" ht="15.75" thickBot="1">
      <c r="A5" s="1">
        <f>+'2025'!B5</f>
        <v>45790</v>
      </c>
      <c r="B5" s="5">
        <f t="shared" si="0"/>
        <v>13</v>
      </c>
      <c r="C5" s="6" t="str">
        <f t="shared" si="1"/>
        <v>13</v>
      </c>
      <c r="D5" s="4" t="str">
        <f t="shared" si="2"/>
        <v>May</v>
      </c>
      <c r="E5" t="str">
        <f t="shared" si="3"/>
        <v>25</v>
      </c>
      <c r="F5" t="str">
        <f t="shared" si="4"/>
        <v>MA</v>
      </c>
      <c r="G5" t="str">
        <f t="shared" si="5"/>
        <v>25MA13</v>
      </c>
      <c r="I5" s="3" t="s">
        <v>8</v>
      </c>
      <c r="J5" s="2" t="s">
        <v>9</v>
      </c>
    </row>
    <row r="6" spans="1:10" ht="15.75" thickBot="1">
      <c r="A6" s="1">
        <f>+'2025'!B6</f>
        <v>45791</v>
      </c>
      <c r="B6" s="5">
        <f t="shared" si="0"/>
        <v>14</v>
      </c>
      <c r="C6" s="6" t="str">
        <f t="shared" si="1"/>
        <v>14</v>
      </c>
      <c r="D6" s="4" t="str">
        <f t="shared" si="2"/>
        <v>May</v>
      </c>
      <c r="E6" t="str">
        <f t="shared" si="3"/>
        <v>25</v>
      </c>
      <c r="F6" t="str">
        <f t="shared" si="4"/>
        <v>MA</v>
      </c>
      <c r="G6" t="str">
        <f t="shared" si="5"/>
        <v>25MA14</v>
      </c>
      <c r="I6" s="3" t="s">
        <v>10</v>
      </c>
      <c r="J6" s="2" t="s">
        <v>11</v>
      </c>
    </row>
    <row r="7" spans="1:10" ht="15.75" thickBot="1">
      <c r="A7" s="1">
        <f>+'2025'!B7</f>
        <v>45792</v>
      </c>
      <c r="B7" s="5">
        <f t="shared" si="0"/>
        <v>15</v>
      </c>
      <c r="C7" s="6" t="str">
        <f t="shared" si="1"/>
        <v>15</v>
      </c>
      <c r="D7" s="4" t="str">
        <f t="shared" si="2"/>
        <v>May</v>
      </c>
      <c r="E7" t="str">
        <f t="shared" si="3"/>
        <v>25</v>
      </c>
      <c r="F7" t="str">
        <f t="shared" si="4"/>
        <v>MA</v>
      </c>
      <c r="G7" t="str">
        <f t="shared" si="5"/>
        <v>25MA15</v>
      </c>
      <c r="I7" s="3" t="s">
        <v>12</v>
      </c>
      <c r="J7" s="2" t="s">
        <v>13</v>
      </c>
    </row>
    <row r="8" spans="1:10" ht="15.75" thickBot="1">
      <c r="A8" s="1">
        <f>+'2025'!B8</f>
        <v>45793</v>
      </c>
      <c r="B8" s="5">
        <f t="shared" si="0"/>
        <v>16</v>
      </c>
      <c r="C8" s="6" t="str">
        <f t="shared" si="1"/>
        <v>16</v>
      </c>
      <c r="D8" s="4" t="str">
        <f t="shared" si="2"/>
        <v>May</v>
      </c>
      <c r="E8" t="str">
        <f t="shared" si="3"/>
        <v>25</v>
      </c>
      <c r="F8" t="str">
        <f t="shared" si="4"/>
        <v>MA</v>
      </c>
      <c r="G8" t="str">
        <f t="shared" si="5"/>
        <v>25MA16</v>
      </c>
      <c r="I8" s="3" t="s">
        <v>14</v>
      </c>
      <c r="J8" s="2" t="s">
        <v>15</v>
      </c>
    </row>
    <row r="9" spans="1:10" ht="15.75" thickBot="1">
      <c r="A9" s="1">
        <f>+'2025'!B9</f>
        <v>45794</v>
      </c>
      <c r="B9" s="5">
        <f t="shared" si="0"/>
        <v>17</v>
      </c>
      <c r="C9" s="6" t="str">
        <f t="shared" si="1"/>
        <v>17</v>
      </c>
      <c r="D9" s="4" t="str">
        <f t="shared" si="2"/>
        <v>May</v>
      </c>
      <c r="E9" t="str">
        <f t="shared" si="3"/>
        <v>25</v>
      </c>
      <c r="F9" t="str">
        <f t="shared" si="4"/>
        <v>MA</v>
      </c>
      <c r="G9" t="str">
        <f t="shared" si="5"/>
        <v>25MA17</v>
      </c>
      <c r="I9" s="3" t="s">
        <v>16</v>
      </c>
      <c r="J9" s="2" t="s">
        <v>17</v>
      </c>
    </row>
    <row r="10" spans="1:10" ht="15.75" thickBot="1">
      <c r="A10" s="1">
        <f>+'2025'!B10</f>
        <v>45795</v>
      </c>
      <c r="B10" s="5">
        <f t="shared" si="0"/>
        <v>18</v>
      </c>
      <c r="C10" s="6" t="str">
        <f t="shared" si="1"/>
        <v>18</v>
      </c>
      <c r="D10" s="4" t="str">
        <f t="shared" si="2"/>
        <v>May</v>
      </c>
      <c r="E10" t="str">
        <f t="shared" si="3"/>
        <v>25</v>
      </c>
      <c r="F10" t="str">
        <f t="shared" si="4"/>
        <v>MA</v>
      </c>
      <c r="G10" t="str">
        <f t="shared" si="5"/>
        <v>25MA18</v>
      </c>
      <c r="I10" s="3" t="s">
        <v>18</v>
      </c>
      <c r="J10" s="2" t="s">
        <v>19</v>
      </c>
    </row>
    <row r="11" spans="1:10" ht="15.75" thickBot="1">
      <c r="A11" s="1">
        <f>+'2025'!B11</f>
        <v>45796</v>
      </c>
      <c r="B11" s="5">
        <f t="shared" si="0"/>
        <v>19</v>
      </c>
      <c r="C11" s="6" t="str">
        <f t="shared" si="1"/>
        <v>19</v>
      </c>
      <c r="D11" s="4" t="str">
        <f t="shared" si="2"/>
        <v>May</v>
      </c>
      <c r="E11" t="str">
        <f t="shared" si="3"/>
        <v>25</v>
      </c>
      <c r="F11" t="str">
        <f t="shared" si="4"/>
        <v>MA</v>
      </c>
      <c r="G11" t="str">
        <f t="shared" si="5"/>
        <v>25MA19</v>
      </c>
      <c r="I11" s="3" t="s">
        <v>20</v>
      </c>
      <c r="J11" s="2" t="s">
        <v>21</v>
      </c>
    </row>
    <row r="12" spans="1:10" ht="15.75" thickBot="1">
      <c r="A12" s="1">
        <f>+'2025'!B12</f>
        <v>45797</v>
      </c>
      <c r="B12" s="5">
        <f t="shared" si="0"/>
        <v>20</v>
      </c>
      <c r="C12" s="6" t="str">
        <f t="shared" si="1"/>
        <v>20</v>
      </c>
      <c r="D12" s="4" t="str">
        <f t="shared" si="2"/>
        <v>May</v>
      </c>
      <c r="E12" t="str">
        <f t="shared" si="3"/>
        <v>25</v>
      </c>
      <c r="F12" t="str">
        <f t="shared" si="4"/>
        <v>MA</v>
      </c>
      <c r="G12" t="str">
        <f t="shared" si="5"/>
        <v>25MA20</v>
      </c>
      <c r="I12" s="3" t="s">
        <v>22</v>
      </c>
      <c r="J12" s="2" t="s">
        <v>23</v>
      </c>
    </row>
    <row r="13" spans="1:10" ht="15.75" thickBot="1">
      <c r="A13" s="1">
        <f>+'2025'!B13</f>
        <v>45798</v>
      </c>
      <c r="B13" s="5">
        <f t="shared" si="0"/>
        <v>21</v>
      </c>
      <c r="C13" s="6" t="str">
        <f t="shared" si="1"/>
        <v>21</v>
      </c>
      <c r="D13" s="4" t="str">
        <f t="shared" si="2"/>
        <v>May</v>
      </c>
      <c r="E13" t="str">
        <f t="shared" si="3"/>
        <v>25</v>
      </c>
      <c r="F13" t="str">
        <f t="shared" si="4"/>
        <v>MA</v>
      </c>
      <c r="G13" t="str">
        <f t="shared" si="5"/>
        <v>25MA21</v>
      </c>
      <c r="I13" s="3" t="s">
        <v>24</v>
      </c>
      <c r="J13" s="2" t="s">
        <v>25</v>
      </c>
    </row>
    <row r="14" spans="1:10" ht="15.75" thickBot="1">
      <c r="A14" s="1">
        <f>+'2025'!B14</f>
        <v>45799</v>
      </c>
      <c r="B14" s="5">
        <f t="shared" si="0"/>
        <v>22</v>
      </c>
      <c r="C14" s="6" t="str">
        <f t="shared" si="1"/>
        <v>22</v>
      </c>
      <c r="D14" s="4" t="str">
        <f t="shared" si="2"/>
        <v>May</v>
      </c>
      <c r="E14" t="str">
        <f t="shared" si="3"/>
        <v>25</v>
      </c>
      <c r="F14" t="str">
        <f t="shared" si="4"/>
        <v>MA</v>
      </c>
      <c r="G14" t="str">
        <f t="shared" si="5"/>
        <v>25MA22</v>
      </c>
      <c r="I14" s="3" t="s">
        <v>26</v>
      </c>
      <c r="J14" s="2" t="s">
        <v>27</v>
      </c>
    </row>
    <row r="15" spans="1:10">
      <c r="A15" s="1">
        <f>+'2025'!B15</f>
        <v>45800</v>
      </c>
      <c r="B15" s="5">
        <f t="shared" si="0"/>
        <v>23</v>
      </c>
      <c r="C15" s="6" t="str">
        <f t="shared" si="1"/>
        <v>23</v>
      </c>
      <c r="D15" s="4" t="str">
        <f t="shared" si="2"/>
        <v>May</v>
      </c>
      <c r="E15" t="str">
        <f t="shared" si="3"/>
        <v>25</v>
      </c>
      <c r="F15" t="str">
        <f t="shared" si="4"/>
        <v>MA</v>
      </c>
      <c r="G15" t="str">
        <f t="shared" si="5"/>
        <v>25MA23</v>
      </c>
    </row>
    <row r="16" spans="1:10">
      <c r="A16" s="1">
        <f>+'2025'!B16</f>
        <v>45801</v>
      </c>
      <c r="B16" s="5">
        <f t="shared" si="0"/>
        <v>24</v>
      </c>
      <c r="C16" s="6" t="str">
        <f t="shared" si="1"/>
        <v>24</v>
      </c>
      <c r="D16" s="4" t="str">
        <f t="shared" si="2"/>
        <v>May</v>
      </c>
      <c r="E16" t="str">
        <f t="shared" si="3"/>
        <v>25</v>
      </c>
      <c r="F16" t="str">
        <f t="shared" si="4"/>
        <v>MA</v>
      </c>
      <c r="G16" t="str">
        <f t="shared" si="5"/>
        <v>25MA24</v>
      </c>
    </row>
    <row r="17" spans="1:7">
      <c r="A17" s="1">
        <f>+'2025'!B17</f>
        <v>45802</v>
      </c>
      <c r="B17" s="5">
        <f t="shared" si="0"/>
        <v>25</v>
      </c>
      <c r="C17" s="6" t="str">
        <f t="shared" si="1"/>
        <v>25</v>
      </c>
      <c r="D17" s="4" t="str">
        <f t="shared" si="2"/>
        <v>May</v>
      </c>
      <c r="E17" t="str">
        <f t="shared" si="3"/>
        <v>25</v>
      </c>
      <c r="F17" t="str">
        <f t="shared" si="4"/>
        <v>MA</v>
      </c>
      <c r="G17" t="str">
        <f t="shared" si="5"/>
        <v>25MA25</v>
      </c>
    </row>
    <row r="18" spans="1:7">
      <c r="A18" s="1">
        <f>+'2025'!B18</f>
        <v>45803</v>
      </c>
      <c r="B18" s="5">
        <f t="shared" si="0"/>
        <v>26</v>
      </c>
      <c r="C18" s="6" t="str">
        <f t="shared" si="1"/>
        <v>26</v>
      </c>
      <c r="D18" s="4" t="str">
        <f t="shared" si="2"/>
        <v>May</v>
      </c>
      <c r="E18" t="str">
        <f t="shared" si="3"/>
        <v>25</v>
      </c>
      <c r="F18" t="str">
        <f t="shared" si="4"/>
        <v>MA</v>
      </c>
      <c r="G18" t="str">
        <f t="shared" si="5"/>
        <v>25MA26</v>
      </c>
    </row>
    <row r="19" spans="1:7">
      <c r="A19" s="1">
        <f>+'2025'!B19</f>
        <v>45804</v>
      </c>
      <c r="B19" s="5">
        <f t="shared" si="0"/>
        <v>27</v>
      </c>
      <c r="C19" s="6" t="str">
        <f t="shared" si="1"/>
        <v>27</v>
      </c>
      <c r="D19" s="4" t="str">
        <f t="shared" ref="D19:D82" si="6">+TEXT(A19,"mmm")</f>
        <v>May</v>
      </c>
      <c r="E19" t="str">
        <f t="shared" ref="E19:E82" si="7">+TEXT(A19,"yy")</f>
        <v>25</v>
      </c>
      <c r="F19" t="str">
        <f t="shared" ref="F19:F82" si="8">VLOOKUP(D19,$I$3:$J$14,2,FALSE)</f>
        <v>MA</v>
      </c>
      <c r="G19" t="str">
        <f t="shared" ref="G19:G82" si="9">+E19&amp;F19&amp;C19</f>
        <v>25MA27</v>
      </c>
    </row>
    <row r="20" spans="1:7">
      <c r="A20" s="1">
        <f>+'2025'!B20</f>
        <v>45805</v>
      </c>
      <c r="B20" s="5">
        <f t="shared" si="0"/>
        <v>28</v>
      </c>
      <c r="C20" s="6" t="str">
        <f t="shared" si="1"/>
        <v>28</v>
      </c>
      <c r="D20" s="4" t="str">
        <f t="shared" si="6"/>
        <v>May</v>
      </c>
      <c r="E20" t="str">
        <f t="shared" si="7"/>
        <v>25</v>
      </c>
      <c r="F20" t="str">
        <f t="shared" si="8"/>
        <v>MA</v>
      </c>
      <c r="G20" t="str">
        <f t="shared" si="9"/>
        <v>25MA28</v>
      </c>
    </row>
    <row r="21" spans="1:7">
      <c r="A21" s="1">
        <f>+'2025'!B21</f>
        <v>45806</v>
      </c>
      <c r="B21" s="5">
        <f t="shared" si="0"/>
        <v>29</v>
      </c>
      <c r="C21" s="6" t="str">
        <f t="shared" si="1"/>
        <v>29</v>
      </c>
      <c r="D21" s="4" t="str">
        <f t="shared" si="6"/>
        <v>May</v>
      </c>
      <c r="E21" t="str">
        <f t="shared" si="7"/>
        <v>25</v>
      </c>
      <c r="F21" t="str">
        <f t="shared" si="8"/>
        <v>MA</v>
      </c>
      <c r="G21" t="str">
        <f t="shared" si="9"/>
        <v>25MA29</v>
      </c>
    </row>
    <row r="22" spans="1:7">
      <c r="A22" s="1">
        <f>+'2025'!B22</f>
        <v>45807</v>
      </c>
      <c r="B22" s="5">
        <f t="shared" si="0"/>
        <v>30</v>
      </c>
      <c r="C22" s="6" t="str">
        <f t="shared" si="1"/>
        <v>30</v>
      </c>
      <c r="D22" s="4" t="str">
        <f t="shared" si="6"/>
        <v>May</v>
      </c>
      <c r="E22" t="str">
        <f t="shared" si="7"/>
        <v>25</v>
      </c>
      <c r="F22" t="str">
        <f t="shared" si="8"/>
        <v>MA</v>
      </c>
      <c r="G22" t="str">
        <f t="shared" si="9"/>
        <v>25MA30</v>
      </c>
    </row>
    <row r="23" spans="1:7">
      <c r="A23" s="1">
        <f>+'2025'!B23</f>
        <v>45808</v>
      </c>
      <c r="B23" s="5">
        <f t="shared" si="0"/>
        <v>31</v>
      </c>
      <c r="C23" s="6" t="str">
        <f t="shared" si="1"/>
        <v>31</v>
      </c>
      <c r="D23" s="4" t="str">
        <f t="shared" si="6"/>
        <v>May</v>
      </c>
      <c r="E23" t="str">
        <f t="shared" si="7"/>
        <v>25</v>
      </c>
      <c r="F23" t="str">
        <f t="shared" si="8"/>
        <v>MA</v>
      </c>
      <c r="G23" t="str">
        <f t="shared" si="9"/>
        <v>25MA31</v>
      </c>
    </row>
    <row r="24" spans="1:7">
      <c r="A24" s="1">
        <f>+'2025'!B24</f>
        <v>45809</v>
      </c>
      <c r="B24" s="5">
        <f t="shared" si="0"/>
        <v>1</v>
      </c>
      <c r="C24" s="6" t="str">
        <f t="shared" si="1"/>
        <v>01</v>
      </c>
      <c r="D24" s="4" t="str">
        <f t="shared" si="6"/>
        <v>Jun</v>
      </c>
      <c r="E24" t="str">
        <f t="shared" si="7"/>
        <v>25</v>
      </c>
      <c r="F24" t="str">
        <f t="shared" si="8"/>
        <v>JN</v>
      </c>
      <c r="G24" t="str">
        <f t="shared" si="9"/>
        <v>25JN01</v>
      </c>
    </row>
    <row r="25" spans="1:7">
      <c r="A25" s="1">
        <f>+'2025'!B25</f>
        <v>45810</v>
      </c>
      <c r="B25" s="5">
        <f t="shared" si="0"/>
        <v>2</v>
      </c>
      <c r="C25" s="6" t="str">
        <f t="shared" si="1"/>
        <v>02</v>
      </c>
      <c r="D25" s="4" t="str">
        <f t="shared" si="6"/>
        <v>Jun</v>
      </c>
      <c r="E25" t="str">
        <f t="shared" si="7"/>
        <v>25</v>
      </c>
      <c r="F25" t="str">
        <f t="shared" si="8"/>
        <v>JN</v>
      </c>
      <c r="G25" t="str">
        <f t="shared" si="9"/>
        <v>25JN02</v>
      </c>
    </row>
    <row r="26" spans="1:7">
      <c r="A26" s="1">
        <f>+'2025'!B26</f>
        <v>45811</v>
      </c>
      <c r="B26" s="5">
        <f t="shared" si="0"/>
        <v>3</v>
      </c>
      <c r="C26" s="6" t="str">
        <f t="shared" si="1"/>
        <v>03</v>
      </c>
      <c r="D26" s="4" t="str">
        <f t="shared" si="6"/>
        <v>Jun</v>
      </c>
      <c r="E26" t="str">
        <f t="shared" si="7"/>
        <v>25</v>
      </c>
      <c r="F26" t="str">
        <f t="shared" si="8"/>
        <v>JN</v>
      </c>
      <c r="G26" t="str">
        <f t="shared" si="9"/>
        <v>25JN03</v>
      </c>
    </row>
    <row r="27" spans="1:7">
      <c r="A27" s="1">
        <f>+'2025'!B27</f>
        <v>45812</v>
      </c>
      <c r="B27" s="5">
        <f t="shared" si="0"/>
        <v>4</v>
      </c>
      <c r="C27" s="6" t="str">
        <f t="shared" si="1"/>
        <v>04</v>
      </c>
      <c r="D27" s="4" t="str">
        <f t="shared" si="6"/>
        <v>Jun</v>
      </c>
      <c r="E27" t="str">
        <f t="shared" si="7"/>
        <v>25</v>
      </c>
      <c r="F27" t="str">
        <f t="shared" si="8"/>
        <v>JN</v>
      </c>
      <c r="G27" t="str">
        <f t="shared" si="9"/>
        <v>25JN04</v>
      </c>
    </row>
    <row r="28" spans="1:7">
      <c r="A28" s="1">
        <f>+'2025'!B28</f>
        <v>45813</v>
      </c>
      <c r="B28" s="5">
        <f t="shared" si="0"/>
        <v>5</v>
      </c>
      <c r="C28" s="6" t="str">
        <f t="shared" si="1"/>
        <v>05</v>
      </c>
      <c r="D28" s="4" t="str">
        <f t="shared" si="6"/>
        <v>Jun</v>
      </c>
      <c r="E28" t="str">
        <f t="shared" si="7"/>
        <v>25</v>
      </c>
      <c r="F28" t="str">
        <f t="shared" si="8"/>
        <v>JN</v>
      </c>
      <c r="G28" t="str">
        <f t="shared" si="9"/>
        <v>25JN05</v>
      </c>
    </row>
    <row r="29" spans="1:7">
      <c r="A29" s="1">
        <f>+'2025'!B29</f>
        <v>45814</v>
      </c>
      <c r="B29" s="5">
        <f t="shared" si="0"/>
        <v>6</v>
      </c>
      <c r="C29" s="6" t="str">
        <f t="shared" si="1"/>
        <v>06</v>
      </c>
      <c r="D29" s="4" t="str">
        <f t="shared" si="6"/>
        <v>Jun</v>
      </c>
      <c r="E29" t="str">
        <f t="shared" si="7"/>
        <v>25</v>
      </c>
      <c r="F29" t="str">
        <f t="shared" si="8"/>
        <v>JN</v>
      </c>
      <c r="G29" t="str">
        <f t="shared" si="9"/>
        <v>25JN06</v>
      </c>
    </row>
    <row r="30" spans="1:7">
      <c r="A30" s="1">
        <f>+'2025'!B30</f>
        <v>45815</v>
      </c>
      <c r="B30" s="5">
        <f t="shared" si="0"/>
        <v>7</v>
      </c>
      <c r="C30" s="6" t="str">
        <f t="shared" si="1"/>
        <v>07</v>
      </c>
      <c r="D30" s="4" t="str">
        <f t="shared" si="6"/>
        <v>Jun</v>
      </c>
      <c r="E30" t="str">
        <f t="shared" si="7"/>
        <v>25</v>
      </c>
      <c r="F30" t="str">
        <f t="shared" si="8"/>
        <v>JN</v>
      </c>
      <c r="G30" t="str">
        <f t="shared" si="9"/>
        <v>25JN07</v>
      </c>
    </row>
    <row r="31" spans="1:7">
      <c r="A31" s="1">
        <f>+'2025'!B31</f>
        <v>45816</v>
      </c>
      <c r="B31" s="5">
        <f t="shared" si="0"/>
        <v>8</v>
      </c>
      <c r="C31" s="6" t="str">
        <f t="shared" si="1"/>
        <v>08</v>
      </c>
      <c r="D31" s="4" t="str">
        <f t="shared" si="6"/>
        <v>Jun</v>
      </c>
      <c r="E31" t="str">
        <f t="shared" si="7"/>
        <v>25</v>
      </c>
      <c r="F31" t="str">
        <f t="shared" si="8"/>
        <v>JN</v>
      </c>
      <c r="G31" t="str">
        <f t="shared" si="9"/>
        <v>25JN08</v>
      </c>
    </row>
    <row r="32" spans="1:7">
      <c r="A32" s="1">
        <f>+'2025'!B32</f>
        <v>45817</v>
      </c>
      <c r="B32" s="5">
        <f t="shared" si="0"/>
        <v>9</v>
      </c>
      <c r="C32" s="6" t="str">
        <f t="shared" si="1"/>
        <v>09</v>
      </c>
      <c r="D32" s="4" t="str">
        <f t="shared" si="6"/>
        <v>Jun</v>
      </c>
      <c r="E32" t="str">
        <f t="shared" si="7"/>
        <v>25</v>
      </c>
      <c r="F32" t="str">
        <f t="shared" si="8"/>
        <v>JN</v>
      </c>
      <c r="G32" t="str">
        <f t="shared" si="9"/>
        <v>25JN09</v>
      </c>
    </row>
    <row r="33" spans="1:7">
      <c r="A33" s="1">
        <f>+'2025'!B33</f>
        <v>45818</v>
      </c>
      <c r="B33" s="5">
        <f t="shared" si="0"/>
        <v>10</v>
      </c>
      <c r="C33" s="6" t="str">
        <f t="shared" si="1"/>
        <v>10</v>
      </c>
      <c r="D33" s="4" t="str">
        <f t="shared" si="6"/>
        <v>Jun</v>
      </c>
      <c r="E33" t="str">
        <f t="shared" si="7"/>
        <v>25</v>
      </c>
      <c r="F33" t="str">
        <f t="shared" si="8"/>
        <v>JN</v>
      </c>
      <c r="G33" t="str">
        <f t="shared" si="9"/>
        <v>25JN10</v>
      </c>
    </row>
    <row r="34" spans="1:7">
      <c r="A34" s="1">
        <f>+'2025'!E3</f>
        <v>45819</v>
      </c>
      <c r="B34" s="5">
        <f t="shared" si="0"/>
        <v>11</v>
      </c>
      <c r="C34" s="6" t="str">
        <f t="shared" si="1"/>
        <v>11</v>
      </c>
      <c r="D34" s="4" t="str">
        <f t="shared" si="6"/>
        <v>Jun</v>
      </c>
      <c r="E34" t="str">
        <f t="shared" si="7"/>
        <v>25</v>
      </c>
      <c r="F34" t="str">
        <f t="shared" si="8"/>
        <v>JN</v>
      </c>
      <c r="G34" t="str">
        <f t="shared" si="9"/>
        <v>25JN11</v>
      </c>
    </row>
    <row r="35" spans="1:7">
      <c r="A35" s="1">
        <f>+'2025'!E4</f>
        <v>45820</v>
      </c>
      <c r="B35" s="5">
        <f t="shared" si="0"/>
        <v>12</v>
      </c>
      <c r="C35" s="6" t="str">
        <f t="shared" si="1"/>
        <v>12</v>
      </c>
      <c r="D35" s="4" t="str">
        <f t="shared" si="6"/>
        <v>Jun</v>
      </c>
      <c r="E35" t="str">
        <f t="shared" si="7"/>
        <v>25</v>
      </c>
      <c r="F35" t="str">
        <f t="shared" si="8"/>
        <v>JN</v>
      </c>
      <c r="G35" t="str">
        <f t="shared" si="9"/>
        <v>25JN12</v>
      </c>
    </row>
    <row r="36" spans="1:7">
      <c r="A36" s="1">
        <f>+'2025'!E5</f>
        <v>45821</v>
      </c>
      <c r="B36" s="5">
        <f t="shared" si="0"/>
        <v>13</v>
      </c>
      <c r="C36" s="6" t="str">
        <f t="shared" si="1"/>
        <v>13</v>
      </c>
      <c r="D36" s="4" t="str">
        <f t="shared" si="6"/>
        <v>Jun</v>
      </c>
      <c r="E36" t="str">
        <f t="shared" si="7"/>
        <v>25</v>
      </c>
      <c r="F36" t="str">
        <f t="shared" si="8"/>
        <v>JN</v>
      </c>
      <c r="G36" t="str">
        <f t="shared" si="9"/>
        <v>25JN13</v>
      </c>
    </row>
    <row r="37" spans="1:7">
      <c r="A37" s="1">
        <f>+'2025'!E6</f>
        <v>45822</v>
      </c>
      <c r="B37" s="5">
        <f t="shared" si="0"/>
        <v>14</v>
      </c>
      <c r="C37" s="6" t="str">
        <f t="shared" si="1"/>
        <v>14</v>
      </c>
      <c r="D37" s="4" t="str">
        <f t="shared" si="6"/>
        <v>Jun</v>
      </c>
      <c r="E37" t="str">
        <f t="shared" si="7"/>
        <v>25</v>
      </c>
      <c r="F37" t="str">
        <f t="shared" si="8"/>
        <v>JN</v>
      </c>
      <c r="G37" t="str">
        <f t="shared" si="9"/>
        <v>25JN14</v>
      </c>
    </row>
    <row r="38" spans="1:7">
      <c r="A38" s="1">
        <f>+'2025'!E7</f>
        <v>45823</v>
      </c>
      <c r="B38" s="5">
        <f t="shared" si="0"/>
        <v>15</v>
      </c>
      <c r="C38" s="6" t="str">
        <f t="shared" si="1"/>
        <v>15</v>
      </c>
      <c r="D38" s="4" t="str">
        <f t="shared" si="6"/>
        <v>Jun</v>
      </c>
      <c r="E38" t="str">
        <f t="shared" si="7"/>
        <v>25</v>
      </c>
      <c r="F38" t="str">
        <f t="shared" si="8"/>
        <v>JN</v>
      </c>
      <c r="G38" t="str">
        <f t="shared" si="9"/>
        <v>25JN15</v>
      </c>
    </row>
    <row r="39" spans="1:7">
      <c r="A39" s="1">
        <f>+'2025'!E8</f>
        <v>45824</v>
      </c>
      <c r="B39" s="5">
        <f t="shared" si="0"/>
        <v>16</v>
      </c>
      <c r="C39" s="6" t="str">
        <f t="shared" si="1"/>
        <v>16</v>
      </c>
      <c r="D39" s="4" t="str">
        <f t="shared" si="6"/>
        <v>Jun</v>
      </c>
      <c r="E39" t="str">
        <f t="shared" si="7"/>
        <v>25</v>
      </c>
      <c r="F39" t="str">
        <f t="shared" si="8"/>
        <v>JN</v>
      </c>
      <c r="G39" t="str">
        <f t="shared" si="9"/>
        <v>25JN16</v>
      </c>
    </row>
    <row r="40" spans="1:7">
      <c r="A40" s="1">
        <f>+'2025'!E9</f>
        <v>45825</v>
      </c>
      <c r="B40" s="5">
        <f t="shared" si="0"/>
        <v>17</v>
      </c>
      <c r="C40" s="6" t="str">
        <f t="shared" si="1"/>
        <v>17</v>
      </c>
      <c r="D40" s="4" t="str">
        <f t="shared" si="6"/>
        <v>Jun</v>
      </c>
      <c r="E40" t="str">
        <f t="shared" si="7"/>
        <v>25</v>
      </c>
      <c r="F40" t="str">
        <f t="shared" si="8"/>
        <v>JN</v>
      </c>
      <c r="G40" t="str">
        <f t="shared" si="9"/>
        <v>25JN17</v>
      </c>
    </row>
    <row r="41" spans="1:7">
      <c r="A41" s="1">
        <f>+'2025'!E10</f>
        <v>45826</v>
      </c>
      <c r="B41" s="5">
        <f t="shared" si="0"/>
        <v>18</v>
      </c>
      <c r="C41" s="6" t="str">
        <f t="shared" si="1"/>
        <v>18</v>
      </c>
      <c r="D41" s="4" t="str">
        <f t="shared" si="6"/>
        <v>Jun</v>
      </c>
      <c r="E41" t="str">
        <f t="shared" si="7"/>
        <v>25</v>
      </c>
      <c r="F41" t="str">
        <f t="shared" si="8"/>
        <v>JN</v>
      </c>
      <c r="G41" t="str">
        <f t="shared" si="9"/>
        <v>25JN18</v>
      </c>
    </row>
    <row r="42" spans="1:7">
      <c r="A42" s="1">
        <f>+'2025'!E11</f>
        <v>45827</v>
      </c>
      <c r="B42" s="5">
        <f t="shared" si="0"/>
        <v>19</v>
      </c>
      <c r="C42" s="6" t="str">
        <f t="shared" si="1"/>
        <v>19</v>
      </c>
      <c r="D42" s="4" t="str">
        <f t="shared" si="6"/>
        <v>Jun</v>
      </c>
      <c r="E42" t="str">
        <f t="shared" si="7"/>
        <v>25</v>
      </c>
      <c r="F42" t="str">
        <f t="shared" si="8"/>
        <v>JN</v>
      </c>
      <c r="G42" t="str">
        <f t="shared" si="9"/>
        <v>25JN19</v>
      </c>
    </row>
    <row r="43" spans="1:7">
      <c r="A43" s="1">
        <f>+'2025'!E12</f>
        <v>45828</v>
      </c>
      <c r="B43" s="5">
        <f t="shared" si="0"/>
        <v>20</v>
      </c>
      <c r="C43" s="6" t="str">
        <f t="shared" si="1"/>
        <v>20</v>
      </c>
      <c r="D43" s="4" t="str">
        <f t="shared" si="6"/>
        <v>Jun</v>
      </c>
      <c r="E43" t="str">
        <f t="shared" si="7"/>
        <v>25</v>
      </c>
      <c r="F43" t="str">
        <f t="shared" si="8"/>
        <v>JN</v>
      </c>
      <c r="G43" t="str">
        <f t="shared" si="9"/>
        <v>25JN20</v>
      </c>
    </row>
    <row r="44" spans="1:7">
      <c r="A44" s="1">
        <f>+'2025'!E13</f>
        <v>45829</v>
      </c>
      <c r="B44" s="5">
        <f t="shared" si="0"/>
        <v>21</v>
      </c>
      <c r="C44" s="6" t="str">
        <f t="shared" si="1"/>
        <v>21</v>
      </c>
      <c r="D44" s="4" t="str">
        <f t="shared" si="6"/>
        <v>Jun</v>
      </c>
      <c r="E44" t="str">
        <f t="shared" si="7"/>
        <v>25</v>
      </c>
      <c r="F44" t="str">
        <f t="shared" si="8"/>
        <v>JN</v>
      </c>
      <c r="G44" t="str">
        <f t="shared" si="9"/>
        <v>25JN21</v>
      </c>
    </row>
    <row r="45" spans="1:7">
      <c r="A45" s="1">
        <f>+'2025'!E14</f>
        <v>45830</v>
      </c>
      <c r="B45" s="5">
        <f t="shared" si="0"/>
        <v>22</v>
      </c>
      <c r="C45" s="6" t="str">
        <f t="shared" si="1"/>
        <v>22</v>
      </c>
      <c r="D45" s="4" t="str">
        <f t="shared" si="6"/>
        <v>Jun</v>
      </c>
      <c r="E45" t="str">
        <f t="shared" si="7"/>
        <v>25</v>
      </c>
      <c r="F45" t="str">
        <f t="shared" si="8"/>
        <v>JN</v>
      </c>
      <c r="G45" t="str">
        <f t="shared" si="9"/>
        <v>25JN22</v>
      </c>
    </row>
    <row r="46" spans="1:7">
      <c r="A46" s="1">
        <f>+'2025'!E15</f>
        <v>45831</v>
      </c>
      <c r="B46" s="5">
        <f t="shared" si="0"/>
        <v>23</v>
      </c>
      <c r="C46" s="6" t="str">
        <f t="shared" si="1"/>
        <v>23</v>
      </c>
      <c r="D46" s="4" t="str">
        <f t="shared" si="6"/>
        <v>Jun</v>
      </c>
      <c r="E46" t="str">
        <f t="shared" si="7"/>
        <v>25</v>
      </c>
      <c r="F46" t="str">
        <f t="shared" si="8"/>
        <v>JN</v>
      </c>
      <c r="G46" t="str">
        <f t="shared" si="9"/>
        <v>25JN23</v>
      </c>
    </row>
    <row r="47" spans="1:7">
      <c r="A47" s="1">
        <f>+'2025'!E16</f>
        <v>45832</v>
      </c>
      <c r="B47" s="5">
        <f t="shared" si="0"/>
        <v>24</v>
      </c>
      <c r="C47" s="6" t="str">
        <f t="shared" si="1"/>
        <v>24</v>
      </c>
      <c r="D47" s="4" t="str">
        <f t="shared" si="6"/>
        <v>Jun</v>
      </c>
      <c r="E47" t="str">
        <f t="shared" si="7"/>
        <v>25</v>
      </c>
      <c r="F47" t="str">
        <f t="shared" si="8"/>
        <v>JN</v>
      </c>
      <c r="G47" t="str">
        <f t="shared" si="9"/>
        <v>25JN24</v>
      </c>
    </row>
    <row r="48" spans="1:7">
      <c r="A48" s="1">
        <f>+'2025'!E17</f>
        <v>45833</v>
      </c>
      <c r="B48" s="5">
        <f t="shared" si="0"/>
        <v>25</v>
      </c>
      <c r="C48" s="6" t="str">
        <f t="shared" si="1"/>
        <v>25</v>
      </c>
      <c r="D48" s="4" t="str">
        <f t="shared" si="6"/>
        <v>Jun</v>
      </c>
      <c r="E48" t="str">
        <f t="shared" si="7"/>
        <v>25</v>
      </c>
      <c r="F48" t="str">
        <f t="shared" si="8"/>
        <v>JN</v>
      </c>
      <c r="G48" t="str">
        <f t="shared" si="9"/>
        <v>25JN25</v>
      </c>
    </row>
    <row r="49" spans="1:7">
      <c r="A49" s="1">
        <f>+'2025'!E18</f>
        <v>45834</v>
      </c>
      <c r="B49" s="5">
        <f t="shared" si="0"/>
        <v>26</v>
      </c>
      <c r="C49" s="6" t="str">
        <f t="shared" si="1"/>
        <v>26</v>
      </c>
      <c r="D49" s="4" t="str">
        <f t="shared" si="6"/>
        <v>Jun</v>
      </c>
      <c r="E49" t="str">
        <f t="shared" si="7"/>
        <v>25</v>
      </c>
      <c r="F49" t="str">
        <f t="shared" si="8"/>
        <v>JN</v>
      </c>
      <c r="G49" t="str">
        <f t="shared" si="9"/>
        <v>25JN26</v>
      </c>
    </row>
    <row r="50" spans="1:7">
      <c r="A50" s="1">
        <f>+'2025'!E19</f>
        <v>45835</v>
      </c>
      <c r="B50" s="5">
        <f t="shared" si="0"/>
        <v>27</v>
      </c>
      <c r="C50" s="6" t="str">
        <f t="shared" si="1"/>
        <v>27</v>
      </c>
      <c r="D50" s="4" t="str">
        <f t="shared" si="6"/>
        <v>Jun</v>
      </c>
      <c r="E50" t="str">
        <f t="shared" si="7"/>
        <v>25</v>
      </c>
      <c r="F50" t="str">
        <f t="shared" si="8"/>
        <v>JN</v>
      </c>
      <c r="G50" t="str">
        <f t="shared" si="9"/>
        <v>25JN27</v>
      </c>
    </row>
    <row r="51" spans="1:7">
      <c r="A51" s="1">
        <f>+'2025'!E20</f>
        <v>45836</v>
      </c>
      <c r="B51" s="5">
        <f t="shared" si="0"/>
        <v>28</v>
      </c>
      <c r="C51" s="6" t="str">
        <f t="shared" si="1"/>
        <v>28</v>
      </c>
      <c r="D51" s="4" t="str">
        <f t="shared" si="6"/>
        <v>Jun</v>
      </c>
      <c r="E51" t="str">
        <f t="shared" si="7"/>
        <v>25</v>
      </c>
      <c r="F51" t="str">
        <f t="shared" si="8"/>
        <v>JN</v>
      </c>
      <c r="G51" t="str">
        <f t="shared" si="9"/>
        <v>25JN28</v>
      </c>
    </row>
    <row r="52" spans="1:7">
      <c r="A52" s="1">
        <f>+'2025'!E21</f>
        <v>45837</v>
      </c>
      <c r="B52" s="5">
        <f t="shared" si="0"/>
        <v>29</v>
      </c>
      <c r="C52" s="6" t="str">
        <f t="shared" si="1"/>
        <v>29</v>
      </c>
      <c r="D52" s="4" t="str">
        <f t="shared" si="6"/>
        <v>Jun</v>
      </c>
      <c r="E52" t="str">
        <f t="shared" si="7"/>
        <v>25</v>
      </c>
      <c r="F52" t="str">
        <f t="shared" si="8"/>
        <v>JN</v>
      </c>
      <c r="G52" t="str">
        <f t="shared" si="9"/>
        <v>25JN29</v>
      </c>
    </row>
    <row r="53" spans="1:7">
      <c r="A53" s="1">
        <f>+'2025'!E22</f>
        <v>45838</v>
      </c>
      <c r="B53" s="5">
        <f t="shared" si="0"/>
        <v>30</v>
      </c>
      <c r="C53" s="6" t="str">
        <f t="shared" si="1"/>
        <v>30</v>
      </c>
      <c r="D53" s="4" t="str">
        <f t="shared" si="6"/>
        <v>Jun</v>
      </c>
      <c r="E53" t="str">
        <f t="shared" si="7"/>
        <v>25</v>
      </c>
      <c r="F53" t="str">
        <f t="shared" si="8"/>
        <v>JN</v>
      </c>
      <c r="G53" t="str">
        <f t="shared" si="9"/>
        <v>25JN30</v>
      </c>
    </row>
    <row r="54" spans="1:7">
      <c r="A54" s="1">
        <f>+'2025'!E23</f>
        <v>45839</v>
      </c>
      <c r="B54" s="5">
        <f t="shared" si="0"/>
        <v>1</v>
      </c>
      <c r="C54" s="6" t="str">
        <f t="shared" si="1"/>
        <v>01</v>
      </c>
      <c r="D54" s="4" t="str">
        <f t="shared" si="6"/>
        <v>Jul</v>
      </c>
      <c r="E54" t="str">
        <f t="shared" si="7"/>
        <v>25</v>
      </c>
      <c r="F54" t="str">
        <f t="shared" si="8"/>
        <v>JL</v>
      </c>
      <c r="G54" t="str">
        <f t="shared" si="9"/>
        <v>25JL01</v>
      </c>
    </row>
    <row r="55" spans="1:7">
      <c r="A55" s="1">
        <f>+'2025'!E24</f>
        <v>45840</v>
      </c>
      <c r="B55" s="5">
        <f t="shared" si="0"/>
        <v>2</v>
      </c>
      <c r="C55" s="6" t="str">
        <f t="shared" si="1"/>
        <v>02</v>
      </c>
      <c r="D55" s="4" t="str">
        <f t="shared" si="6"/>
        <v>Jul</v>
      </c>
      <c r="E55" t="str">
        <f t="shared" si="7"/>
        <v>25</v>
      </c>
      <c r="F55" t="str">
        <f t="shared" si="8"/>
        <v>JL</v>
      </c>
      <c r="G55" t="str">
        <f t="shared" si="9"/>
        <v>25JL02</v>
      </c>
    </row>
    <row r="56" spans="1:7">
      <c r="A56" s="1">
        <f>+'2025'!E25</f>
        <v>45841</v>
      </c>
      <c r="B56" s="5">
        <f t="shared" si="0"/>
        <v>3</v>
      </c>
      <c r="C56" s="6" t="str">
        <f t="shared" si="1"/>
        <v>03</v>
      </c>
      <c r="D56" s="4" t="str">
        <f t="shared" si="6"/>
        <v>Jul</v>
      </c>
      <c r="E56" t="str">
        <f t="shared" si="7"/>
        <v>25</v>
      </c>
      <c r="F56" t="str">
        <f t="shared" si="8"/>
        <v>JL</v>
      </c>
      <c r="G56" t="str">
        <f t="shared" si="9"/>
        <v>25JL03</v>
      </c>
    </row>
    <row r="57" spans="1:7">
      <c r="A57" s="1">
        <f>+'2025'!E26</f>
        <v>45842</v>
      </c>
      <c r="B57" s="5">
        <f t="shared" si="0"/>
        <v>4</v>
      </c>
      <c r="C57" s="6" t="str">
        <f t="shared" si="1"/>
        <v>04</v>
      </c>
      <c r="D57" s="4" t="str">
        <f t="shared" si="6"/>
        <v>Jul</v>
      </c>
      <c r="E57" t="str">
        <f t="shared" si="7"/>
        <v>25</v>
      </c>
      <c r="F57" t="str">
        <f t="shared" si="8"/>
        <v>JL</v>
      </c>
      <c r="G57" t="str">
        <f t="shared" si="9"/>
        <v>25JL04</v>
      </c>
    </row>
    <row r="58" spans="1:7">
      <c r="A58" s="1">
        <f>+'2025'!E27</f>
        <v>45843</v>
      </c>
      <c r="B58" s="5">
        <f t="shared" si="0"/>
        <v>5</v>
      </c>
      <c r="C58" s="6" t="str">
        <f t="shared" si="1"/>
        <v>05</v>
      </c>
      <c r="D58" s="4" t="str">
        <f t="shared" si="6"/>
        <v>Jul</v>
      </c>
      <c r="E58" t="str">
        <f t="shared" si="7"/>
        <v>25</v>
      </c>
      <c r="F58" t="str">
        <f t="shared" si="8"/>
        <v>JL</v>
      </c>
      <c r="G58" t="str">
        <f t="shared" si="9"/>
        <v>25JL05</v>
      </c>
    </row>
    <row r="59" spans="1:7">
      <c r="A59" s="1">
        <f>+'2025'!E28</f>
        <v>45844</v>
      </c>
      <c r="B59" s="5">
        <f t="shared" si="0"/>
        <v>6</v>
      </c>
      <c r="C59" s="6" t="str">
        <f t="shared" si="1"/>
        <v>06</v>
      </c>
      <c r="D59" s="4" t="str">
        <f t="shared" si="6"/>
        <v>Jul</v>
      </c>
      <c r="E59" t="str">
        <f t="shared" si="7"/>
        <v>25</v>
      </c>
      <c r="F59" t="str">
        <f t="shared" si="8"/>
        <v>JL</v>
      </c>
      <c r="G59" t="str">
        <f t="shared" si="9"/>
        <v>25JL06</v>
      </c>
    </row>
    <row r="60" spans="1:7">
      <c r="A60" s="1">
        <f>+'2025'!E29</f>
        <v>45845</v>
      </c>
      <c r="B60" s="5">
        <f t="shared" si="0"/>
        <v>7</v>
      </c>
      <c r="C60" s="6" t="str">
        <f t="shared" si="1"/>
        <v>07</v>
      </c>
      <c r="D60" s="4" t="str">
        <f t="shared" si="6"/>
        <v>Jul</v>
      </c>
      <c r="E60" t="str">
        <f t="shared" si="7"/>
        <v>25</v>
      </c>
      <c r="F60" t="str">
        <f t="shared" si="8"/>
        <v>JL</v>
      </c>
      <c r="G60" t="str">
        <f t="shared" si="9"/>
        <v>25JL07</v>
      </c>
    </row>
    <row r="61" spans="1:7">
      <c r="A61" s="1">
        <f>+'2025'!E30</f>
        <v>45846</v>
      </c>
      <c r="B61" s="5">
        <f t="shared" si="0"/>
        <v>8</v>
      </c>
      <c r="C61" s="6" t="str">
        <f t="shared" si="1"/>
        <v>08</v>
      </c>
      <c r="D61" s="4" t="str">
        <f t="shared" si="6"/>
        <v>Jul</v>
      </c>
      <c r="E61" t="str">
        <f t="shared" si="7"/>
        <v>25</v>
      </c>
      <c r="F61" t="str">
        <f t="shared" si="8"/>
        <v>JL</v>
      </c>
      <c r="G61" t="str">
        <f t="shared" si="9"/>
        <v>25JL08</v>
      </c>
    </row>
    <row r="62" spans="1:7">
      <c r="A62" s="1">
        <f>+'2025'!H3</f>
        <v>45847</v>
      </c>
      <c r="B62" s="5">
        <f t="shared" si="0"/>
        <v>9</v>
      </c>
      <c r="C62" s="6" t="str">
        <f t="shared" si="1"/>
        <v>09</v>
      </c>
      <c r="D62" s="4" t="str">
        <f t="shared" si="6"/>
        <v>Jul</v>
      </c>
      <c r="E62" t="str">
        <f t="shared" si="7"/>
        <v>25</v>
      </c>
      <c r="F62" t="str">
        <f t="shared" si="8"/>
        <v>JL</v>
      </c>
      <c r="G62" t="str">
        <f t="shared" si="9"/>
        <v>25JL09</v>
      </c>
    </row>
    <row r="63" spans="1:7">
      <c r="A63" s="1">
        <f>+'2025'!H4</f>
        <v>45848</v>
      </c>
      <c r="B63" s="5">
        <f t="shared" si="0"/>
        <v>10</v>
      </c>
      <c r="C63" s="6" t="str">
        <f t="shared" si="1"/>
        <v>10</v>
      </c>
      <c r="D63" s="4" t="str">
        <f t="shared" si="6"/>
        <v>Jul</v>
      </c>
      <c r="E63" t="str">
        <f t="shared" si="7"/>
        <v>25</v>
      </c>
      <c r="F63" t="str">
        <f t="shared" si="8"/>
        <v>JL</v>
      </c>
      <c r="G63" t="str">
        <f t="shared" si="9"/>
        <v>25JL10</v>
      </c>
    </row>
    <row r="64" spans="1:7">
      <c r="A64" s="1">
        <f>+'2025'!H5</f>
        <v>45849</v>
      </c>
      <c r="B64" s="5">
        <f t="shared" si="0"/>
        <v>11</v>
      </c>
      <c r="C64" s="6" t="str">
        <f t="shared" si="1"/>
        <v>11</v>
      </c>
      <c r="D64" s="4" t="str">
        <f t="shared" si="6"/>
        <v>Jul</v>
      </c>
      <c r="E64" t="str">
        <f t="shared" si="7"/>
        <v>25</v>
      </c>
      <c r="F64" t="str">
        <f t="shared" si="8"/>
        <v>JL</v>
      </c>
      <c r="G64" t="str">
        <f t="shared" si="9"/>
        <v>25JL11</v>
      </c>
    </row>
    <row r="65" spans="1:7">
      <c r="A65" s="1">
        <f>+'2025'!H6</f>
        <v>45850</v>
      </c>
      <c r="B65" s="5">
        <f t="shared" si="0"/>
        <v>12</v>
      </c>
      <c r="C65" s="6" t="str">
        <f t="shared" si="1"/>
        <v>12</v>
      </c>
      <c r="D65" s="4" t="str">
        <f t="shared" si="6"/>
        <v>Jul</v>
      </c>
      <c r="E65" t="str">
        <f t="shared" si="7"/>
        <v>25</v>
      </c>
      <c r="F65" t="str">
        <f t="shared" si="8"/>
        <v>JL</v>
      </c>
      <c r="G65" t="str">
        <f t="shared" si="9"/>
        <v>25JL12</v>
      </c>
    </row>
    <row r="66" spans="1:7">
      <c r="A66" s="1">
        <f>+'2025'!H7</f>
        <v>45851</v>
      </c>
      <c r="B66" s="5">
        <f t="shared" si="0"/>
        <v>13</v>
      </c>
      <c r="C66" s="6" t="str">
        <f t="shared" si="1"/>
        <v>13</v>
      </c>
      <c r="D66" s="4" t="str">
        <f t="shared" si="6"/>
        <v>Jul</v>
      </c>
      <c r="E66" t="str">
        <f t="shared" si="7"/>
        <v>25</v>
      </c>
      <c r="F66" t="str">
        <f t="shared" si="8"/>
        <v>JL</v>
      </c>
      <c r="G66" t="str">
        <f t="shared" si="9"/>
        <v>25JL13</v>
      </c>
    </row>
    <row r="67" spans="1:7">
      <c r="A67" s="1">
        <f>+'2025'!H8</f>
        <v>45852</v>
      </c>
      <c r="B67" s="5">
        <f t="shared" si="0"/>
        <v>14</v>
      </c>
      <c r="C67" s="6" t="str">
        <f t="shared" si="1"/>
        <v>14</v>
      </c>
      <c r="D67" s="4" t="str">
        <f t="shared" si="6"/>
        <v>Jul</v>
      </c>
      <c r="E67" t="str">
        <f t="shared" si="7"/>
        <v>25</v>
      </c>
      <c r="F67" t="str">
        <f t="shared" si="8"/>
        <v>JL</v>
      </c>
      <c r="G67" t="str">
        <f t="shared" si="9"/>
        <v>25JL14</v>
      </c>
    </row>
    <row r="68" spans="1:7">
      <c r="A68" s="1">
        <f>+'2025'!H9</f>
        <v>45853</v>
      </c>
      <c r="B68" s="5">
        <f t="shared" ref="B68:B131" si="10">DAY(A68)</f>
        <v>15</v>
      </c>
      <c r="C68" s="6" t="str">
        <f t="shared" ref="C68:C131" si="11">TEXT(B68,"00")</f>
        <v>15</v>
      </c>
      <c r="D68" s="4" t="str">
        <f t="shared" si="6"/>
        <v>Jul</v>
      </c>
      <c r="E68" t="str">
        <f t="shared" si="7"/>
        <v>25</v>
      </c>
      <c r="F68" t="str">
        <f t="shared" si="8"/>
        <v>JL</v>
      </c>
      <c r="G68" t="str">
        <f t="shared" si="9"/>
        <v>25JL15</v>
      </c>
    </row>
    <row r="69" spans="1:7">
      <c r="A69" s="1">
        <f>+'2025'!H10</f>
        <v>45854</v>
      </c>
      <c r="B69" s="5">
        <f t="shared" si="10"/>
        <v>16</v>
      </c>
      <c r="C69" s="6" t="str">
        <f t="shared" si="11"/>
        <v>16</v>
      </c>
      <c r="D69" s="4" t="str">
        <f t="shared" si="6"/>
        <v>Jul</v>
      </c>
      <c r="E69" t="str">
        <f t="shared" si="7"/>
        <v>25</v>
      </c>
      <c r="F69" t="str">
        <f t="shared" si="8"/>
        <v>JL</v>
      </c>
      <c r="G69" t="str">
        <f t="shared" si="9"/>
        <v>25JL16</v>
      </c>
    </row>
    <row r="70" spans="1:7">
      <c r="A70" s="1">
        <f>+'2025'!H11</f>
        <v>45855</v>
      </c>
      <c r="B70" s="5">
        <f t="shared" si="10"/>
        <v>17</v>
      </c>
      <c r="C70" s="6" t="str">
        <f t="shared" si="11"/>
        <v>17</v>
      </c>
      <c r="D70" s="4" t="str">
        <f t="shared" si="6"/>
        <v>Jul</v>
      </c>
      <c r="E70" t="str">
        <f t="shared" si="7"/>
        <v>25</v>
      </c>
      <c r="F70" t="str">
        <f t="shared" si="8"/>
        <v>JL</v>
      </c>
      <c r="G70" t="str">
        <f t="shared" si="9"/>
        <v>25JL17</v>
      </c>
    </row>
    <row r="71" spans="1:7">
      <c r="A71" s="1">
        <f>+'2025'!H12</f>
        <v>45856</v>
      </c>
      <c r="B71" s="5">
        <f t="shared" si="10"/>
        <v>18</v>
      </c>
      <c r="C71" s="6" t="str">
        <f t="shared" si="11"/>
        <v>18</v>
      </c>
      <c r="D71" s="4" t="str">
        <f t="shared" si="6"/>
        <v>Jul</v>
      </c>
      <c r="E71" t="str">
        <f t="shared" si="7"/>
        <v>25</v>
      </c>
      <c r="F71" t="str">
        <f t="shared" si="8"/>
        <v>JL</v>
      </c>
      <c r="G71" t="str">
        <f t="shared" si="9"/>
        <v>25JL18</v>
      </c>
    </row>
    <row r="72" spans="1:7">
      <c r="A72" s="1">
        <f>+'2025'!H13</f>
        <v>45857</v>
      </c>
      <c r="B72" s="5">
        <f t="shared" si="10"/>
        <v>19</v>
      </c>
      <c r="C72" s="6" t="str">
        <f t="shared" si="11"/>
        <v>19</v>
      </c>
      <c r="D72" s="4" t="str">
        <f t="shared" si="6"/>
        <v>Jul</v>
      </c>
      <c r="E72" t="str">
        <f t="shared" si="7"/>
        <v>25</v>
      </c>
      <c r="F72" t="str">
        <f t="shared" si="8"/>
        <v>JL</v>
      </c>
      <c r="G72" t="str">
        <f t="shared" si="9"/>
        <v>25JL19</v>
      </c>
    </row>
    <row r="73" spans="1:7">
      <c r="A73" s="1">
        <f>+'2025'!H14</f>
        <v>45858</v>
      </c>
      <c r="B73" s="5">
        <f t="shared" si="10"/>
        <v>20</v>
      </c>
      <c r="C73" s="6" t="str">
        <f t="shared" si="11"/>
        <v>20</v>
      </c>
      <c r="D73" s="4" t="str">
        <f t="shared" si="6"/>
        <v>Jul</v>
      </c>
      <c r="E73" t="str">
        <f t="shared" si="7"/>
        <v>25</v>
      </c>
      <c r="F73" t="str">
        <f t="shared" si="8"/>
        <v>JL</v>
      </c>
      <c r="G73" t="str">
        <f t="shared" si="9"/>
        <v>25JL20</v>
      </c>
    </row>
    <row r="74" spans="1:7">
      <c r="A74" s="1">
        <f>+'2025'!H15</f>
        <v>45859</v>
      </c>
      <c r="B74" s="5">
        <f t="shared" si="10"/>
        <v>21</v>
      </c>
      <c r="C74" s="6" t="str">
        <f t="shared" si="11"/>
        <v>21</v>
      </c>
      <c r="D74" s="4" t="str">
        <f t="shared" si="6"/>
        <v>Jul</v>
      </c>
      <c r="E74" t="str">
        <f t="shared" si="7"/>
        <v>25</v>
      </c>
      <c r="F74" t="str">
        <f t="shared" si="8"/>
        <v>JL</v>
      </c>
      <c r="G74" t="str">
        <f t="shared" si="9"/>
        <v>25JL21</v>
      </c>
    </row>
    <row r="75" spans="1:7">
      <c r="A75" s="1">
        <f>+'2025'!H16</f>
        <v>45860</v>
      </c>
      <c r="B75" s="5">
        <f t="shared" si="10"/>
        <v>22</v>
      </c>
      <c r="C75" s="6" t="str">
        <f t="shared" si="11"/>
        <v>22</v>
      </c>
      <c r="D75" s="4" t="str">
        <f t="shared" si="6"/>
        <v>Jul</v>
      </c>
      <c r="E75" t="str">
        <f t="shared" si="7"/>
        <v>25</v>
      </c>
      <c r="F75" t="str">
        <f t="shared" si="8"/>
        <v>JL</v>
      </c>
      <c r="G75" t="str">
        <f t="shared" si="9"/>
        <v>25JL22</v>
      </c>
    </row>
    <row r="76" spans="1:7">
      <c r="A76" s="1">
        <f>+'2025'!H17</f>
        <v>45861</v>
      </c>
      <c r="B76" s="5">
        <f t="shared" si="10"/>
        <v>23</v>
      </c>
      <c r="C76" s="6" t="str">
        <f t="shared" si="11"/>
        <v>23</v>
      </c>
      <c r="D76" s="4" t="str">
        <f t="shared" si="6"/>
        <v>Jul</v>
      </c>
      <c r="E76" t="str">
        <f t="shared" si="7"/>
        <v>25</v>
      </c>
      <c r="F76" t="str">
        <f t="shared" si="8"/>
        <v>JL</v>
      </c>
      <c r="G76" t="str">
        <f t="shared" si="9"/>
        <v>25JL23</v>
      </c>
    </row>
    <row r="77" spans="1:7">
      <c r="A77" s="1">
        <f>+'2025'!H18</f>
        <v>45862</v>
      </c>
      <c r="B77" s="5">
        <f t="shared" si="10"/>
        <v>24</v>
      </c>
      <c r="C77" s="6" t="str">
        <f t="shared" si="11"/>
        <v>24</v>
      </c>
      <c r="D77" s="4" t="str">
        <f t="shared" si="6"/>
        <v>Jul</v>
      </c>
      <c r="E77" t="str">
        <f t="shared" si="7"/>
        <v>25</v>
      </c>
      <c r="F77" t="str">
        <f t="shared" si="8"/>
        <v>JL</v>
      </c>
      <c r="G77" t="str">
        <f t="shared" si="9"/>
        <v>25JL24</v>
      </c>
    </row>
    <row r="78" spans="1:7">
      <c r="A78" s="1">
        <f>+'2025'!H19</f>
        <v>45863</v>
      </c>
      <c r="B78" s="5">
        <f t="shared" si="10"/>
        <v>25</v>
      </c>
      <c r="C78" s="6" t="str">
        <f t="shared" si="11"/>
        <v>25</v>
      </c>
      <c r="D78" s="4" t="str">
        <f t="shared" si="6"/>
        <v>Jul</v>
      </c>
      <c r="E78" t="str">
        <f t="shared" si="7"/>
        <v>25</v>
      </c>
      <c r="F78" t="str">
        <f t="shared" si="8"/>
        <v>JL</v>
      </c>
      <c r="G78" t="str">
        <f t="shared" si="9"/>
        <v>25JL25</v>
      </c>
    </row>
    <row r="79" spans="1:7">
      <c r="A79" s="1">
        <f>+'2025'!H20</f>
        <v>45864</v>
      </c>
      <c r="B79" s="5">
        <f t="shared" si="10"/>
        <v>26</v>
      </c>
      <c r="C79" s="6" t="str">
        <f t="shared" si="11"/>
        <v>26</v>
      </c>
      <c r="D79" s="4" t="str">
        <f t="shared" si="6"/>
        <v>Jul</v>
      </c>
      <c r="E79" t="str">
        <f t="shared" si="7"/>
        <v>25</v>
      </c>
      <c r="F79" t="str">
        <f t="shared" si="8"/>
        <v>JL</v>
      </c>
      <c r="G79" t="str">
        <f t="shared" si="9"/>
        <v>25JL26</v>
      </c>
    </row>
    <row r="80" spans="1:7">
      <c r="A80" s="1">
        <f>+'2025'!H21</f>
        <v>45865</v>
      </c>
      <c r="B80" s="5">
        <f t="shared" si="10"/>
        <v>27</v>
      </c>
      <c r="C80" s="6" t="str">
        <f t="shared" si="11"/>
        <v>27</v>
      </c>
      <c r="D80" s="4" t="str">
        <f t="shared" si="6"/>
        <v>Jul</v>
      </c>
      <c r="E80" t="str">
        <f t="shared" si="7"/>
        <v>25</v>
      </c>
      <c r="F80" t="str">
        <f t="shared" si="8"/>
        <v>JL</v>
      </c>
      <c r="G80" t="str">
        <f t="shared" si="9"/>
        <v>25JL27</v>
      </c>
    </row>
    <row r="81" spans="1:7">
      <c r="A81" s="1">
        <f>+'2025'!H22</f>
        <v>45866</v>
      </c>
      <c r="B81" s="5">
        <f t="shared" si="10"/>
        <v>28</v>
      </c>
      <c r="C81" s="6" t="str">
        <f t="shared" si="11"/>
        <v>28</v>
      </c>
      <c r="D81" s="4" t="str">
        <f t="shared" si="6"/>
        <v>Jul</v>
      </c>
      <c r="E81" t="str">
        <f t="shared" si="7"/>
        <v>25</v>
      </c>
      <c r="F81" t="str">
        <f t="shared" si="8"/>
        <v>JL</v>
      </c>
      <c r="G81" t="str">
        <f t="shared" si="9"/>
        <v>25JL28</v>
      </c>
    </row>
    <row r="82" spans="1:7">
      <c r="A82" s="1">
        <f>+'2025'!H23</f>
        <v>45867</v>
      </c>
      <c r="B82" s="5">
        <f t="shared" si="10"/>
        <v>29</v>
      </c>
      <c r="C82" s="6" t="str">
        <f t="shared" si="11"/>
        <v>29</v>
      </c>
      <c r="D82" s="4" t="str">
        <f t="shared" si="6"/>
        <v>Jul</v>
      </c>
      <c r="E82" t="str">
        <f t="shared" si="7"/>
        <v>25</v>
      </c>
      <c r="F82" t="str">
        <f t="shared" si="8"/>
        <v>JL</v>
      </c>
      <c r="G82" t="str">
        <f t="shared" si="9"/>
        <v>25JL29</v>
      </c>
    </row>
    <row r="83" spans="1:7">
      <c r="A83" s="1">
        <f>+'2025'!H24</f>
        <v>45868</v>
      </c>
      <c r="B83" s="5">
        <f t="shared" si="10"/>
        <v>30</v>
      </c>
      <c r="C83" s="6" t="str">
        <f t="shared" si="11"/>
        <v>30</v>
      </c>
      <c r="D83" s="4" t="str">
        <f t="shared" ref="D83:D146" si="12">+TEXT(A83,"mmm")</f>
        <v>Jul</v>
      </c>
      <c r="E83" t="str">
        <f t="shared" ref="E83:E146" si="13">+TEXT(A83,"yy")</f>
        <v>25</v>
      </c>
      <c r="F83" t="str">
        <f t="shared" ref="F83:F146" si="14">VLOOKUP(D83,$I$3:$J$14,2,FALSE)</f>
        <v>JL</v>
      </c>
      <c r="G83" t="str">
        <f t="shared" ref="G83:G146" si="15">+E83&amp;F83&amp;C83</f>
        <v>25JL30</v>
      </c>
    </row>
    <row r="84" spans="1:7">
      <c r="A84" s="1">
        <f>+'2025'!H25</f>
        <v>45869</v>
      </c>
      <c r="B84" s="5">
        <f t="shared" si="10"/>
        <v>31</v>
      </c>
      <c r="C84" s="6" t="str">
        <f t="shared" si="11"/>
        <v>31</v>
      </c>
      <c r="D84" s="4" t="str">
        <f t="shared" si="12"/>
        <v>Jul</v>
      </c>
      <c r="E84" t="str">
        <f t="shared" si="13"/>
        <v>25</v>
      </c>
      <c r="F84" t="str">
        <f t="shared" si="14"/>
        <v>JL</v>
      </c>
      <c r="G84" t="str">
        <f t="shared" si="15"/>
        <v>25JL31</v>
      </c>
    </row>
    <row r="85" spans="1:7">
      <c r="A85" s="1">
        <f>+'2025'!H26</f>
        <v>45870</v>
      </c>
      <c r="B85" s="5">
        <f t="shared" si="10"/>
        <v>1</v>
      </c>
      <c r="C85" s="6" t="str">
        <f t="shared" si="11"/>
        <v>01</v>
      </c>
      <c r="D85" s="4" t="str">
        <f t="shared" si="12"/>
        <v>Aug</v>
      </c>
      <c r="E85" t="str">
        <f t="shared" si="13"/>
        <v>25</v>
      </c>
      <c r="F85" t="str">
        <f t="shared" si="14"/>
        <v>AU</v>
      </c>
      <c r="G85" t="str">
        <f t="shared" si="15"/>
        <v>25AU01</v>
      </c>
    </row>
    <row r="86" spans="1:7">
      <c r="A86" s="1">
        <f>+'2025'!H27</f>
        <v>45871</v>
      </c>
      <c r="B86" s="5">
        <f t="shared" si="10"/>
        <v>2</v>
      </c>
      <c r="C86" s="6" t="str">
        <f t="shared" si="11"/>
        <v>02</v>
      </c>
      <c r="D86" s="4" t="str">
        <f t="shared" si="12"/>
        <v>Aug</v>
      </c>
      <c r="E86" t="str">
        <f t="shared" si="13"/>
        <v>25</v>
      </c>
      <c r="F86" t="str">
        <f t="shared" si="14"/>
        <v>AU</v>
      </c>
      <c r="G86" t="str">
        <f t="shared" si="15"/>
        <v>25AU02</v>
      </c>
    </row>
    <row r="87" spans="1:7">
      <c r="A87" s="1">
        <f>+'2025'!H28</f>
        <v>45872</v>
      </c>
      <c r="B87" s="5">
        <f t="shared" si="10"/>
        <v>3</v>
      </c>
      <c r="C87" s="6" t="str">
        <f t="shared" si="11"/>
        <v>03</v>
      </c>
      <c r="D87" s="4" t="str">
        <f t="shared" si="12"/>
        <v>Aug</v>
      </c>
      <c r="E87" t="str">
        <f t="shared" si="13"/>
        <v>25</v>
      </c>
      <c r="F87" t="str">
        <f t="shared" si="14"/>
        <v>AU</v>
      </c>
      <c r="G87" t="str">
        <f t="shared" si="15"/>
        <v>25AU03</v>
      </c>
    </row>
    <row r="88" spans="1:7">
      <c r="A88" s="1">
        <f>+'2025'!H29</f>
        <v>45873</v>
      </c>
      <c r="B88" s="5">
        <f t="shared" si="10"/>
        <v>4</v>
      </c>
      <c r="C88" s="6" t="str">
        <f t="shared" si="11"/>
        <v>04</v>
      </c>
      <c r="D88" s="4" t="str">
        <f t="shared" si="12"/>
        <v>Aug</v>
      </c>
      <c r="E88" t="str">
        <f t="shared" si="13"/>
        <v>25</v>
      </c>
      <c r="F88" t="str">
        <f t="shared" si="14"/>
        <v>AU</v>
      </c>
      <c r="G88" t="str">
        <f t="shared" si="15"/>
        <v>25AU04</v>
      </c>
    </row>
    <row r="89" spans="1:7">
      <c r="A89" s="1">
        <f>+'2025'!H30</f>
        <v>45874</v>
      </c>
      <c r="B89" s="5">
        <f t="shared" si="10"/>
        <v>5</v>
      </c>
      <c r="C89" s="6" t="str">
        <f t="shared" si="11"/>
        <v>05</v>
      </c>
      <c r="D89" s="4" t="str">
        <f t="shared" si="12"/>
        <v>Aug</v>
      </c>
      <c r="E89" t="str">
        <f t="shared" si="13"/>
        <v>25</v>
      </c>
      <c r="F89" t="str">
        <f t="shared" si="14"/>
        <v>AU</v>
      </c>
      <c r="G89" t="str">
        <f t="shared" si="15"/>
        <v>25AU05</v>
      </c>
    </row>
    <row r="90" spans="1:7">
      <c r="A90" s="1">
        <f>+'2025'!H31</f>
        <v>45875</v>
      </c>
      <c r="B90" s="5">
        <f t="shared" si="10"/>
        <v>6</v>
      </c>
      <c r="C90" s="6" t="str">
        <f t="shared" si="11"/>
        <v>06</v>
      </c>
      <c r="D90" s="4" t="str">
        <f t="shared" si="12"/>
        <v>Aug</v>
      </c>
      <c r="E90" t="str">
        <f t="shared" si="13"/>
        <v>25</v>
      </c>
      <c r="F90" t="str">
        <f t="shared" si="14"/>
        <v>AU</v>
      </c>
      <c r="G90" t="str">
        <f t="shared" si="15"/>
        <v>25AU06</v>
      </c>
    </row>
    <row r="91" spans="1:7">
      <c r="A91" s="1">
        <f>+'2025'!H32</f>
        <v>45876</v>
      </c>
      <c r="B91" s="5">
        <f t="shared" si="10"/>
        <v>7</v>
      </c>
      <c r="C91" s="6" t="str">
        <f t="shared" si="11"/>
        <v>07</v>
      </c>
      <c r="D91" s="4" t="str">
        <f t="shared" si="12"/>
        <v>Aug</v>
      </c>
      <c r="E91" t="str">
        <f t="shared" si="13"/>
        <v>25</v>
      </c>
      <c r="F91" t="str">
        <f t="shared" si="14"/>
        <v>AU</v>
      </c>
      <c r="G91" t="str">
        <f t="shared" si="15"/>
        <v>25AU07</v>
      </c>
    </row>
    <row r="92" spans="1:7">
      <c r="A92" s="1">
        <f>+'2025'!H33</f>
        <v>45877</v>
      </c>
      <c r="B92" s="5">
        <f t="shared" si="10"/>
        <v>8</v>
      </c>
      <c r="C92" s="6" t="str">
        <f t="shared" si="11"/>
        <v>08</v>
      </c>
      <c r="D92" s="4" t="str">
        <f t="shared" si="12"/>
        <v>Aug</v>
      </c>
      <c r="E92" t="str">
        <f t="shared" si="13"/>
        <v>25</v>
      </c>
      <c r="F92" t="str">
        <f t="shared" si="14"/>
        <v>AU</v>
      </c>
      <c r="G92" t="str">
        <f t="shared" si="15"/>
        <v>25AU08</v>
      </c>
    </row>
    <row r="93" spans="1:7">
      <c r="A93" s="1">
        <f>+'2025'!K3</f>
        <v>45878</v>
      </c>
      <c r="B93" s="5">
        <f t="shared" si="10"/>
        <v>9</v>
      </c>
      <c r="C93" s="6" t="str">
        <f t="shared" si="11"/>
        <v>09</v>
      </c>
      <c r="D93" s="4" t="str">
        <f t="shared" si="12"/>
        <v>Aug</v>
      </c>
      <c r="E93" t="str">
        <f t="shared" si="13"/>
        <v>25</v>
      </c>
      <c r="F93" t="str">
        <f t="shared" si="14"/>
        <v>AU</v>
      </c>
      <c r="G93" t="str">
        <f t="shared" si="15"/>
        <v>25AU09</v>
      </c>
    </row>
    <row r="94" spans="1:7">
      <c r="A94" s="1">
        <f>+'2025'!K4</f>
        <v>45879</v>
      </c>
      <c r="B94" s="5">
        <f t="shared" si="10"/>
        <v>10</v>
      </c>
      <c r="C94" s="6" t="str">
        <f t="shared" si="11"/>
        <v>10</v>
      </c>
      <c r="D94" s="4" t="str">
        <f t="shared" si="12"/>
        <v>Aug</v>
      </c>
      <c r="E94" t="str">
        <f t="shared" si="13"/>
        <v>25</v>
      </c>
      <c r="F94" t="str">
        <f t="shared" si="14"/>
        <v>AU</v>
      </c>
      <c r="G94" t="str">
        <f t="shared" si="15"/>
        <v>25AU10</v>
      </c>
    </row>
    <row r="95" spans="1:7">
      <c r="A95" s="1">
        <f>+'2025'!K5</f>
        <v>45880</v>
      </c>
      <c r="B95" s="5">
        <f t="shared" si="10"/>
        <v>11</v>
      </c>
      <c r="C95" s="6" t="str">
        <f t="shared" si="11"/>
        <v>11</v>
      </c>
      <c r="D95" s="4" t="str">
        <f t="shared" si="12"/>
        <v>Aug</v>
      </c>
      <c r="E95" t="str">
        <f t="shared" si="13"/>
        <v>25</v>
      </c>
      <c r="F95" t="str">
        <f t="shared" si="14"/>
        <v>AU</v>
      </c>
      <c r="G95" t="str">
        <f t="shared" si="15"/>
        <v>25AU11</v>
      </c>
    </row>
    <row r="96" spans="1:7">
      <c r="A96" s="1">
        <f>+'2025'!K6</f>
        <v>45881</v>
      </c>
      <c r="B96" s="5">
        <f t="shared" si="10"/>
        <v>12</v>
      </c>
      <c r="C96" s="6" t="str">
        <f t="shared" si="11"/>
        <v>12</v>
      </c>
      <c r="D96" s="4" t="str">
        <f t="shared" si="12"/>
        <v>Aug</v>
      </c>
      <c r="E96" t="str">
        <f t="shared" si="13"/>
        <v>25</v>
      </c>
      <c r="F96" t="str">
        <f t="shared" si="14"/>
        <v>AU</v>
      </c>
      <c r="G96" t="str">
        <f t="shared" si="15"/>
        <v>25AU12</v>
      </c>
    </row>
    <row r="97" spans="1:7">
      <c r="A97" s="1">
        <f>+'2025'!K7</f>
        <v>45882</v>
      </c>
      <c r="B97" s="5">
        <f t="shared" si="10"/>
        <v>13</v>
      </c>
      <c r="C97" s="6" t="str">
        <f t="shared" si="11"/>
        <v>13</v>
      </c>
      <c r="D97" s="4" t="str">
        <f t="shared" si="12"/>
        <v>Aug</v>
      </c>
      <c r="E97" t="str">
        <f t="shared" si="13"/>
        <v>25</v>
      </c>
      <c r="F97" t="str">
        <f t="shared" si="14"/>
        <v>AU</v>
      </c>
      <c r="G97" t="str">
        <f t="shared" si="15"/>
        <v>25AU13</v>
      </c>
    </row>
    <row r="98" spans="1:7">
      <c r="A98" s="1">
        <f>+'2025'!K8</f>
        <v>45883</v>
      </c>
      <c r="B98" s="5">
        <f t="shared" si="10"/>
        <v>14</v>
      </c>
      <c r="C98" s="6" t="str">
        <f t="shared" si="11"/>
        <v>14</v>
      </c>
      <c r="D98" s="4" t="str">
        <f t="shared" si="12"/>
        <v>Aug</v>
      </c>
      <c r="E98" t="str">
        <f t="shared" si="13"/>
        <v>25</v>
      </c>
      <c r="F98" t="str">
        <f t="shared" si="14"/>
        <v>AU</v>
      </c>
      <c r="G98" t="str">
        <f t="shared" si="15"/>
        <v>25AU14</v>
      </c>
    </row>
    <row r="99" spans="1:7">
      <c r="A99" s="1">
        <f>+'2025'!K9</f>
        <v>45884</v>
      </c>
      <c r="B99" s="5">
        <f t="shared" si="10"/>
        <v>15</v>
      </c>
      <c r="C99" s="6" t="str">
        <f t="shared" si="11"/>
        <v>15</v>
      </c>
      <c r="D99" s="4" t="str">
        <f t="shared" si="12"/>
        <v>Aug</v>
      </c>
      <c r="E99" t="str">
        <f t="shared" si="13"/>
        <v>25</v>
      </c>
      <c r="F99" t="str">
        <f t="shared" si="14"/>
        <v>AU</v>
      </c>
      <c r="G99" t="str">
        <f t="shared" si="15"/>
        <v>25AU15</v>
      </c>
    </row>
    <row r="100" spans="1:7">
      <c r="A100" s="1">
        <f>+'2025'!K10</f>
        <v>45885</v>
      </c>
      <c r="B100" s="5">
        <f t="shared" si="10"/>
        <v>16</v>
      </c>
      <c r="C100" s="6" t="str">
        <f t="shared" si="11"/>
        <v>16</v>
      </c>
      <c r="D100" s="4" t="str">
        <f t="shared" si="12"/>
        <v>Aug</v>
      </c>
      <c r="E100" t="str">
        <f t="shared" si="13"/>
        <v>25</v>
      </c>
      <c r="F100" t="str">
        <f t="shared" si="14"/>
        <v>AU</v>
      </c>
      <c r="G100" t="str">
        <f t="shared" si="15"/>
        <v>25AU16</v>
      </c>
    </row>
    <row r="101" spans="1:7">
      <c r="A101" s="1">
        <f>+'2025'!K11</f>
        <v>45886</v>
      </c>
      <c r="B101" s="5">
        <f t="shared" si="10"/>
        <v>17</v>
      </c>
      <c r="C101" s="6" t="str">
        <f t="shared" si="11"/>
        <v>17</v>
      </c>
      <c r="D101" s="4" t="str">
        <f t="shared" si="12"/>
        <v>Aug</v>
      </c>
      <c r="E101" t="str">
        <f t="shared" si="13"/>
        <v>25</v>
      </c>
      <c r="F101" t="str">
        <f t="shared" si="14"/>
        <v>AU</v>
      </c>
      <c r="G101" t="str">
        <f t="shared" si="15"/>
        <v>25AU17</v>
      </c>
    </row>
    <row r="102" spans="1:7">
      <c r="A102" s="1">
        <f>+'2025'!K12</f>
        <v>45887</v>
      </c>
      <c r="B102" s="5">
        <f t="shared" si="10"/>
        <v>18</v>
      </c>
      <c r="C102" s="6" t="str">
        <f t="shared" si="11"/>
        <v>18</v>
      </c>
      <c r="D102" s="4" t="str">
        <f t="shared" si="12"/>
        <v>Aug</v>
      </c>
      <c r="E102" t="str">
        <f t="shared" si="13"/>
        <v>25</v>
      </c>
      <c r="F102" t="str">
        <f t="shared" si="14"/>
        <v>AU</v>
      </c>
      <c r="G102" t="str">
        <f t="shared" si="15"/>
        <v>25AU18</v>
      </c>
    </row>
    <row r="103" spans="1:7">
      <c r="A103" s="1">
        <f>+'2025'!K13</f>
        <v>45888</v>
      </c>
      <c r="B103" s="5">
        <f t="shared" si="10"/>
        <v>19</v>
      </c>
      <c r="C103" s="6" t="str">
        <f t="shared" si="11"/>
        <v>19</v>
      </c>
      <c r="D103" s="4" t="str">
        <f t="shared" si="12"/>
        <v>Aug</v>
      </c>
      <c r="E103" t="str">
        <f t="shared" si="13"/>
        <v>25</v>
      </c>
      <c r="F103" t="str">
        <f t="shared" si="14"/>
        <v>AU</v>
      </c>
      <c r="G103" t="str">
        <f t="shared" si="15"/>
        <v>25AU19</v>
      </c>
    </row>
    <row r="104" spans="1:7">
      <c r="A104" s="1">
        <f>+'2025'!K14</f>
        <v>45889</v>
      </c>
      <c r="B104" s="5">
        <f t="shared" si="10"/>
        <v>20</v>
      </c>
      <c r="C104" s="6" t="str">
        <f t="shared" si="11"/>
        <v>20</v>
      </c>
      <c r="D104" s="4" t="str">
        <f t="shared" si="12"/>
        <v>Aug</v>
      </c>
      <c r="E104" t="str">
        <f t="shared" si="13"/>
        <v>25</v>
      </c>
      <c r="F104" t="str">
        <f t="shared" si="14"/>
        <v>AU</v>
      </c>
      <c r="G104" t="str">
        <f t="shared" si="15"/>
        <v>25AU20</v>
      </c>
    </row>
    <row r="105" spans="1:7">
      <c r="A105" s="1">
        <f>+'2025'!K15</f>
        <v>45890</v>
      </c>
      <c r="B105" s="5">
        <f t="shared" si="10"/>
        <v>21</v>
      </c>
      <c r="C105" s="6" t="str">
        <f t="shared" si="11"/>
        <v>21</v>
      </c>
      <c r="D105" s="4" t="str">
        <f t="shared" si="12"/>
        <v>Aug</v>
      </c>
      <c r="E105" t="str">
        <f t="shared" si="13"/>
        <v>25</v>
      </c>
      <c r="F105" t="str">
        <f t="shared" si="14"/>
        <v>AU</v>
      </c>
      <c r="G105" t="str">
        <f t="shared" si="15"/>
        <v>25AU21</v>
      </c>
    </row>
    <row r="106" spans="1:7">
      <c r="A106" s="1">
        <f>+'2025'!K16</f>
        <v>45891</v>
      </c>
      <c r="B106" s="5">
        <f t="shared" si="10"/>
        <v>22</v>
      </c>
      <c r="C106" s="6" t="str">
        <f t="shared" si="11"/>
        <v>22</v>
      </c>
      <c r="D106" s="4" t="str">
        <f t="shared" si="12"/>
        <v>Aug</v>
      </c>
      <c r="E106" t="str">
        <f t="shared" si="13"/>
        <v>25</v>
      </c>
      <c r="F106" t="str">
        <f t="shared" si="14"/>
        <v>AU</v>
      </c>
      <c r="G106" t="str">
        <f t="shared" si="15"/>
        <v>25AU22</v>
      </c>
    </row>
    <row r="107" spans="1:7">
      <c r="A107" s="1">
        <f>+'2025'!K17</f>
        <v>45892</v>
      </c>
      <c r="B107" s="5">
        <f t="shared" si="10"/>
        <v>23</v>
      </c>
      <c r="C107" s="6" t="str">
        <f t="shared" si="11"/>
        <v>23</v>
      </c>
      <c r="D107" s="4" t="str">
        <f t="shared" si="12"/>
        <v>Aug</v>
      </c>
      <c r="E107" t="str">
        <f t="shared" si="13"/>
        <v>25</v>
      </c>
      <c r="F107" t="str">
        <f t="shared" si="14"/>
        <v>AU</v>
      </c>
      <c r="G107" t="str">
        <f t="shared" si="15"/>
        <v>25AU23</v>
      </c>
    </row>
    <row r="108" spans="1:7">
      <c r="A108" s="1">
        <f>+'2025'!K18</f>
        <v>45893</v>
      </c>
      <c r="B108" s="5">
        <f t="shared" si="10"/>
        <v>24</v>
      </c>
      <c r="C108" s="6" t="str">
        <f t="shared" si="11"/>
        <v>24</v>
      </c>
      <c r="D108" s="4" t="str">
        <f t="shared" si="12"/>
        <v>Aug</v>
      </c>
      <c r="E108" t="str">
        <f t="shared" si="13"/>
        <v>25</v>
      </c>
      <c r="F108" t="str">
        <f t="shared" si="14"/>
        <v>AU</v>
      </c>
      <c r="G108" t="str">
        <f t="shared" si="15"/>
        <v>25AU24</v>
      </c>
    </row>
    <row r="109" spans="1:7">
      <c r="A109" s="1">
        <f>+'2025'!K19</f>
        <v>45894</v>
      </c>
      <c r="B109" s="5">
        <f t="shared" si="10"/>
        <v>25</v>
      </c>
      <c r="C109" s="6" t="str">
        <f t="shared" si="11"/>
        <v>25</v>
      </c>
      <c r="D109" s="4" t="str">
        <f t="shared" si="12"/>
        <v>Aug</v>
      </c>
      <c r="E109" t="str">
        <f t="shared" si="13"/>
        <v>25</v>
      </c>
      <c r="F109" t="str">
        <f t="shared" si="14"/>
        <v>AU</v>
      </c>
      <c r="G109" t="str">
        <f t="shared" si="15"/>
        <v>25AU25</v>
      </c>
    </row>
    <row r="110" spans="1:7">
      <c r="A110" s="1">
        <f>+'2025'!K20</f>
        <v>45895</v>
      </c>
      <c r="B110" s="5">
        <f t="shared" si="10"/>
        <v>26</v>
      </c>
      <c r="C110" s="6" t="str">
        <f t="shared" si="11"/>
        <v>26</v>
      </c>
      <c r="D110" s="4" t="str">
        <f t="shared" si="12"/>
        <v>Aug</v>
      </c>
      <c r="E110" t="str">
        <f t="shared" si="13"/>
        <v>25</v>
      </c>
      <c r="F110" t="str">
        <f t="shared" si="14"/>
        <v>AU</v>
      </c>
      <c r="G110" t="str">
        <f t="shared" si="15"/>
        <v>25AU26</v>
      </c>
    </row>
    <row r="111" spans="1:7">
      <c r="A111" s="1">
        <f>+'2025'!K21</f>
        <v>45896</v>
      </c>
      <c r="B111" s="5">
        <f t="shared" si="10"/>
        <v>27</v>
      </c>
      <c r="C111" s="6" t="str">
        <f t="shared" si="11"/>
        <v>27</v>
      </c>
      <c r="D111" s="4" t="str">
        <f t="shared" si="12"/>
        <v>Aug</v>
      </c>
      <c r="E111" t="str">
        <f t="shared" si="13"/>
        <v>25</v>
      </c>
      <c r="F111" t="str">
        <f t="shared" si="14"/>
        <v>AU</v>
      </c>
      <c r="G111" t="str">
        <f t="shared" si="15"/>
        <v>25AU27</v>
      </c>
    </row>
    <row r="112" spans="1:7">
      <c r="A112" s="1">
        <f>+'2025'!K22</f>
        <v>45897</v>
      </c>
      <c r="B112" s="5">
        <f t="shared" si="10"/>
        <v>28</v>
      </c>
      <c r="C112" s="6" t="str">
        <f t="shared" si="11"/>
        <v>28</v>
      </c>
      <c r="D112" s="4" t="str">
        <f t="shared" si="12"/>
        <v>Aug</v>
      </c>
      <c r="E112" t="str">
        <f t="shared" si="13"/>
        <v>25</v>
      </c>
      <c r="F112" t="str">
        <f t="shared" si="14"/>
        <v>AU</v>
      </c>
      <c r="G112" t="str">
        <f t="shared" si="15"/>
        <v>25AU28</v>
      </c>
    </row>
    <row r="113" spans="1:7">
      <c r="A113" s="1">
        <f>+'2025'!K23</f>
        <v>45898</v>
      </c>
      <c r="B113" s="5">
        <f t="shared" si="10"/>
        <v>29</v>
      </c>
      <c r="C113" s="6" t="str">
        <f t="shared" si="11"/>
        <v>29</v>
      </c>
      <c r="D113" s="4" t="str">
        <f t="shared" si="12"/>
        <v>Aug</v>
      </c>
      <c r="E113" t="str">
        <f t="shared" si="13"/>
        <v>25</v>
      </c>
      <c r="F113" t="str">
        <f t="shared" si="14"/>
        <v>AU</v>
      </c>
      <c r="G113" t="str">
        <f t="shared" si="15"/>
        <v>25AU29</v>
      </c>
    </row>
    <row r="114" spans="1:7">
      <c r="A114" s="1">
        <f>+'2025'!K24</f>
        <v>45899</v>
      </c>
      <c r="B114" s="5">
        <f t="shared" si="10"/>
        <v>30</v>
      </c>
      <c r="C114" s="6" t="str">
        <f t="shared" si="11"/>
        <v>30</v>
      </c>
      <c r="D114" s="4" t="str">
        <f t="shared" si="12"/>
        <v>Aug</v>
      </c>
      <c r="E114" t="str">
        <f t="shared" si="13"/>
        <v>25</v>
      </c>
      <c r="F114" t="str">
        <f t="shared" si="14"/>
        <v>AU</v>
      </c>
      <c r="G114" t="str">
        <f t="shared" si="15"/>
        <v>25AU30</v>
      </c>
    </row>
    <row r="115" spans="1:7">
      <c r="A115" s="1">
        <f>+'2025'!K25</f>
        <v>45900</v>
      </c>
      <c r="B115" s="5">
        <f t="shared" si="10"/>
        <v>31</v>
      </c>
      <c r="C115" s="6" t="str">
        <f t="shared" si="11"/>
        <v>31</v>
      </c>
      <c r="D115" s="4" t="str">
        <f t="shared" si="12"/>
        <v>Aug</v>
      </c>
      <c r="E115" t="str">
        <f t="shared" si="13"/>
        <v>25</v>
      </c>
      <c r="F115" t="str">
        <f t="shared" si="14"/>
        <v>AU</v>
      </c>
      <c r="G115" t="str">
        <f t="shared" si="15"/>
        <v>25AU31</v>
      </c>
    </row>
    <row r="116" spans="1:7">
      <c r="A116" s="1">
        <f>+'2025'!K26</f>
        <v>45901</v>
      </c>
      <c r="B116" s="5">
        <f t="shared" si="10"/>
        <v>1</v>
      </c>
      <c r="C116" s="6" t="str">
        <f t="shared" si="11"/>
        <v>01</v>
      </c>
      <c r="D116" s="4" t="str">
        <f t="shared" si="12"/>
        <v>Sep</v>
      </c>
      <c r="E116" t="str">
        <f t="shared" si="13"/>
        <v>25</v>
      </c>
      <c r="F116" t="str">
        <f t="shared" si="14"/>
        <v>SE</v>
      </c>
      <c r="G116" t="str">
        <f t="shared" si="15"/>
        <v>25SE01</v>
      </c>
    </row>
    <row r="117" spans="1:7">
      <c r="A117" s="1">
        <f>+'2025'!K27</f>
        <v>45902</v>
      </c>
      <c r="B117" s="5">
        <f t="shared" si="10"/>
        <v>2</v>
      </c>
      <c r="C117" s="6" t="str">
        <f t="shared" si="11"/>
        <v>02</v>
      </c>
      <c r="D117" s="4" t="str">
        <f t="shared" si="12"/>
        <v>Sep</v>
      </c>
      <c r="E117" t="str">
        <f t="shared" si="13"/>
        <v>25</v>
      </c>
      <c r="F117" t="str">
        <f t="shared" si="14"/>
        <v>SE</v>
      </c>
      <c r="G117" t="str">
        <f t="shared" si="15"/>
        <v>25SE02</v>
      </c>
    </row>
    <row r="118" spans="1:7">
      <c r="A118" s="1">
        <f>+'2025'!K28</f>
        <v>45903</v>
      </c>
      <c r="B118" s="5">
        <f t="shared" si="10"/>
        <v>3</v>
      </c>
      <c r="C118" s="6" t="str">
        <f t="shared" si="11"/>
        <v>03</v>
      </c>
      <c r="D118" s="4" t="str">
        <f t="shared" si="12"/>
        <v>Sep</v>
      </c>
      <c r="E118" t="str">
        <f t="shared" si="13"/>
        <v>25</v>
      </c>
      <c r="F118" t="str">
        <f t="shared" si="14"/>
        <v>SE</v>
      </c>
      <c r="G118" t="str">
        <f t="shared" si="15"/>
        <v>25SE03</v>
      </c>
    </row>
    <row r="119" spans="1:7">
      <c r="A119" s="1">
        <f>+'2025'!K29</f>
        <v>45904</v>
      </c>
      <c r="B119" s="5">
        <f t="shared" si="10"/>
        <v>4</v>
      </c>
      <c r="C119" s="6" t="str">
        <f t="shared" si="11"/>
        <v>04</v>
      </c>
      <c r="D119" s="4" t="str">
        <f t="shared" si="12"/>
        <v>Sep</v>
      </c>
      <c r="E119" t="str">
        <f t="shared" si="13"/>
        <v>25</v>
      </c>
      <c r="F119" t="str">
        <f t="shared" si="14"/>
        <v>SE</v>
      </c>
      <c r="G119" t="str">
        <f t="shared" si="15"/>
        <v>25SE04</v>
      </c>
    </row>
    <row r="120" spans="1:7">
      <c r="A120" s="1">
        <f>+'2025'!K30</f>
        <v>45905</v>
      </c>
      <c r="B120" s="5">
        <f t="shared" si="10"/>
        <v>5</v>
      </c>
      <c r="C120" s="6" t="str">
        <f t="shared" si="11"/>
        <v>05</v>
      </c>
      <c r="D120" s="4" t="str">
        <f t="shared" si="12"/>
        <v>Sep</v>
      </c>
      <c r="E120" t="str">
        <f t="shared" si="13"/>
        <v>25</v>
      </c>
      <c r="F120" t="str">
        <f t="shared" si="14"/>
        <v>SE</v>
      </c>
      <c r="G120" t="str">
        <f t="shared" si="15"/>
        <v>25SE05</v>
      </c>
    </row>
    <row r="121" spans="1:7">
      <c r="A121" s="1">
        <f>+'2025'!K31</f>
        <v>45906</v>
      </c>
      <c r="B121" s="5">
        <f t="shared" si="10"/>
        <v>6</v>
      </c>
      <c r="C121" s="6" t="str">
        <f t="shared" si="11"/>
        <v>06</v>
      </c>
      <c r="D121" s="4" t="str">
        <f t="shared" si="12"/>
        <v>Sep</v>
      </c>
      <c r="E121" t="str">
        <f t="shared" si="13"/>
        <v>25</v>
      </c>
      <c r="F121" t="str">
        <f t="shared" si="14"/>
        <v>SE</v>
      </c>
      <c r="G121" t="str">
        <f t="shared" si="15"/>
        <v>25SE06</v>
      </c>
    </row>
    <row r="122" spans="1:7">
      <c r="A122" s="1">
        <f>+'2025'!K32</f>
        <v>45907</v>
      </c>
      <c r="B122" s="5">
        <f t="shared" si="10"/>
        <v>7</v>
      </c>
      <c r="C122" s="6" t="str">
        <f t="shared" si="11"/>
        <v>07</v>
      </c>
      <c r="D122" s="4" t="str">
        <f t="shared" si="12"/>
        <v>Sep</v>
      </c>
      <c r="E122" t="str">
        <f t="shared" si="13"/>
        <v>25</v>
      </c>
      <c r="F122" t="str">
        <f t="shared" si="14"/>
        <v>SE</v>
      </c>
      <c r="G122" t="str">
        <f t="shared" si="15"/>
        <v>25SE07</v>
      </c>
    </row>
    <row r="123" spans="1:7">
      <c r="A123" s="1">
        <f>+'2025'!N3</f>
        <v>45908</v>
      </c>
      <c r="B123" s="5">
        <f t="shared" si="10"/>
        <v>8</v>
      </c>
      <c r="C123" s="6" t="str">
        <f t="shared" si="11"/>
        <v>08</v>
      </c>
      <c r="D123" s="4" t="str">
        <f t="shared" si="12"/>
        <v>Sep</v>
      </c>
      <c r="E123" t="str">
        <f t="shared" si="13"/>
        <v>25</v>
      </c>
      <c r="F123" t="str">
        <f t="shared" si="14"/>
        <v>SE</v>
      </c>
      <c r="G123" t="str">
        <f t="shared" si="15"/>
        <v>25SE08</v>
      </c>
    </row>
    <row r="124" spans="1:7">
      <c r="A124" s="1">
        <f>+'2025'!N4</f>
        <v>45909</v>
      </c>
      <c r="B124" s="5">
        <f t="shared" si="10"/>
        <v>9</v>
      </c>
      <c r="C124" s="6" t="str">
        <f t="shared" si="11"/>
        <v>09</v>
      </c>
      <c r="D124" s="4" t="str">
        <f t="shared" si="12"/>
        <v>Sep</v>
      </c>
      <c r="E124" t="str">
        <f t="shared" si="13"/>
        <v>25</v>
      </c>
      <c r="F124" t="str">
        <f t="shared" si="14"/>
        <v>SE</v>
      </c>
      <c r="G124" t="str">
        <f t="shared" si="15"/>
        <v>25SE09</v>
      </c>
    </row>
    <row r="125" spans="1:7">
      <c r="A125" s="1">
        <f>+'2025'!N5</f>
        <v>45910</v>
      </c>
      <c r="B125" s="5">
        <f t="shared" si="10"/>
        <v>10</v>
      </c>
      <c r="C125" s="6" t="str">
        <f t="shared" si="11"/>
        <v>10</v>
      </c>
      <c r="D125" s="4" t="str">
        <f t="shared" si="12"/>
        <v>Sep</v>
      </c>
      <c r="E125" t="str">
        <f t="shared" si="13"/>
        <v>25</v>
      </c>
      <c r="F125" t="str">
        <f t="shared" si="14"/>
        <v>SE</v>
      </c>
      <c r="G125" t="str">
        <f t="shared" si="15"/>
        <v>25SE10</v>
      </c>
    </row>
    <row r="126" spans="1:7">
      <c r="A126" s="1">
        <f>+'2025'!N6</f>
        <v>45911</v>
      </c>
      <c r="B126" s="5">
        <f t="shared" si="10"/>
        <v>11</v>
      </c>
      <c r="C126" s="6" t="str">
        <f t="shared" si="11"/>
        <v>11</v>
      </c>
      <c r="D126" s="4" t="str">
        <f t="shared" si="12"/>
        <v>Sep</v>
      </c>
      <c r="E126" t="str">
        <f t="shared" si="13"/>
        <v>25</v>
      </c>
      <c r="F126" t="str">
        <f t="shared" si="14"/>
        <v>SE</v>
      </c>
      <c r="G126" t="str">
        <f t="shared" si="15"/>
        <v>25SE11</v>
      </c>
    </row>
    <row r="127" spans="1:7">
      <c r="A127" s="1">
        <f>+'2025'!N7</f>
        <v>45912</v>
      </c>
      <c r="B127" s="5">
        <f t="shared" si="10"/>
        <v>12</v>
      </c>
      <c r="C127" s="6" t="str">
        <f t="shared" si="11"/>
        <v>12</v>
      </c>
      <c r="D127" s="4" t="str">
        <f t="shared" si="12"/>
        <v>Sep</v>
      </c>
      <c r="E127" t="str">
        <f t="shared" si="13"/>
        <v>25</v>
      </c>
      <c r="F127" t="str">
        <f t="shared" si="14"/>
        <v>SE</v>
      </c>
      <c r="G127" t="str">
        <f t="shared" si="15"/>
        <v>25SE12</v>
      </c>
    </row>
    <row r="128" spans="1:7">
      <c r="A128" s="1">
        <f>+'2025'!N8</f>
        <v>45913</v>
      </c>
      <c r="B128" s="5">
        <f t="shared" si="10"/>
        <v>13</v>
      </c>
      <c r="C128" s="6" t="str">
        <f t="shared" si="11"/>
        <v>13</v>
      </c>
      <c r="D128" s="4" t="str">
        <f t="shared" si="12"/>
        <v>Sep</v>
      </c>
      <c r="E128" t="str">
        <f t="shared" si="13"/>
        <v>25</v>
      </c>
      <c r="F128" t="str">
        <f t="shared" si="14"/>
        <v>SE</v>
      </c>
      <c r="G128" t="str">
        <f t="shared" si="15"/>
        <v>25SE13</v>
      </c>
    </row>
    <row r="129" spans="1:7">
      <c r="A129" s="1">
        <f>+'2025'!N9</f>
        <v>45914</v>
      </c>
      <c r="B129" s="5">
        <f t="shared" si="10"/>
        <v>14</v>
      </c>
      <c r="C129" s="6" t="str">
        <f t="shared" si="11"/>
        <v>14</v>
      </c>
      <c r="D129" s="4" t="str">
        <f t="shared" si="12"/>
        <v>Sep</v>
      </c>
      <c r="E129" t="str">
        <f t="shared" si="13"/>
        <v>25</v>
      </c>
      <c r="F129" t="str">
        <f t="shared" si="14"/>
        <v>SE</v>
      </c>
      <c r="G129" t="str">
        <f t="shared" si="15"/>
        <v>25SE14</v>
      </c>
    </row>
    <row r="130" spans="1:7">
      <c r="A130" s="1">
        <f>+'2025'!N10</f>
        <v>45915</v>
      </c>
      <c r="B130" s="5">
        <f t="shared" si="10"/>
        <v>15</v>
      </c>
      <c r="C130" s="6" t="str">
        <f t="shared" si="11"/>
        <v>15</v>
      </c>
      <c r="D130" s="4" t="str">
        <f t="shared" si="12"/>
        <v>Sep</v>
      </c>
      <c r="E130" t="str">
        <f t="shared" si="13"/>
        <v>25</v>
      </c>
      <c r="F130" t="str">
        <f t="shared" si="14"/>
        <v>SE</v>
      </c>
      <c r="G130" t="str">
        <f t="shared" si="15"/>
        <v>25SE15</v>
      </c>
    </row>
    <row r="131" spans="1:7">
      <c r="A131" s="1">
        <f>+'2025'!N11</f>
        <v>45916</v>
      </c>
      <c r="B131" s="5">
        <f t="shared" si="10"/>
        <v>16</v>
      </c>
      <c r="C131" s="6" t="str">
        <f t="shared" si="11"/>
        <v>16</v>
      </c>
      <c r="D131" s="4" t="str">
        <f t="shared" si="12"/>
        <v>Sep</v>
      </c>
      <c r="E131" t="str">
        <f t="shared" si="13"/>
        <v>25</v>
      </c>
      <c r="F131" t="str">
        <f t="shared" si="14"/>
        <v>SE</v>
      </c>
      <c r="G131" t="str">
        <f t="shared" si="15"/>
        <v>25SE16</v>
      </c>
    </row>
    <row r="132" spans="1:7">
      <c r="A132" s="1">
        <f>+'2025'!N12</f>
        <v>45917</v>
      </c>
      <c r="B132" s="5">
        <f t="shared" ref="B132:B195" si="16">DAY(A132)</f>
        <v>17</v>
      </c>
      <c r="C132" s="6" t="str">
        <f t="shared" ref="C132:C195" si="17">TEXT(B132,"00")</f>
        <v>17</v>
      </c>
      <c r="D132" s="4" t="str">
        <f t="shared" si="12"/>
        <v>Sep</v>
      </c>
      <c r="E132" t="str">
        <f t="shared" si="13"/>
        <v>25</v>
      </c>
      <c r="F132" t="str">
        <f t="shared" si="14"/>
        <v>SE</v>
      </c>
      <c r="G132" t="str">
        <f t="shared" si="15"/>
        <v>25SE17</v>
      </c>
    </row>
    <row r="133" spans="1:7">
      <c r="A133" s="1">
        <f>+'2025'!N13</f>
        <v>45918</v>
      </c>
      <c r="B133" s="5">
        <f t="shared" si="16"/>
        <v>18</v>
      </c>
      <c r="C133" s="6" t="str">
        <f t="shared" si="17"/>
        <v>18</v>
      </c>
      <c r="D133" s="4" t="str">
        <f t="shared" si="12"/>
        <v>Sep</v>
      </c>
      <c r="E133" t="str">
        <f t="shared" si="13"/>
        <v>25</v>
      </c>
      <c r="F133" t="str">
        <f t="shared" si="14"/>
        <v>SE</v>
      </c>
      <c r="G133" t="str">
        <f t="shared" si="15"/>
        <v>25SE18</v>
      </c>
    </row>
    <row r="134" spans="1:7">
      <c r="A134" s="1">
        <f>+'2025'!N14</f>
        <v>45919</v>
      </c>
      <c r="B134" s="5">
        <f t="shared" si="16"/>
        <v>19</v>
      </c>
      <c r="C134" s="6" t="str">
        <f t="shared" si="17"/>
        <v>19</v>
      </c>
      <c r="D134" s="4" t="str">
        <f t="shared" si="12"/>
        <v>Sep</v>
      </c>
      <c r="E134" t="str">
        <f t="shared" si="13"/>
        <v>25</v>
      </c>
      <c r="F134" t="str">
        <f t="shared" si="14"/>
        <v>SE</v>
      </c>
      <c r="G134" t="str">
        <f t="shared" si="15"/>
        <v>25SE19</v>
      </c>
    </row>
    <row r="135" spans="1:7">
      <c r="A135" s="1">
        <f>+'2025'!N15</f>
        <v>45920</v>
      </c>
      <c r="B135" s="5">
        <f t="shared" si="16"/>
        <v>20</v>
      </c>
      <c r="C135" s="6" t="str">
        <f t="shared" si="17"/>
        <v>20</v>
      </c>
      <c r="D135" s="4" t="str">
        <f t="shared" si="12"/>
        <v>Sep</v>
      </c>
      <c r="E135" t="str">
        <f t="shared" si="13"/>
        <v>25</v>
      </c>
      <c r="F135" t="str">
        <f t="shared" si="14"/>
        <v>SE</v>
      </c>
      <c r="G135" t="str">
        <f t="shared" si="15"/>
        <v>25SE20</v>
      </c>
    </row>
    <row r="136" spans="1:7">
      <c r="A136" s="1">
        <f>+'2025'!N16</f>
        <v>45921</v>
      </c>
      <c r="B136" s="5">
        <f t="shared" si="16"/>
        <v>21</v>
      </c>
      <c r="C136" s="6" t="str">
        <f t="shared" si="17"/>
        <v>21</v>
      </c>
      <c r="D136" s="4" t="str">
        <f t="shared" si="12"/>
        <v>Sep</v>
      </c>
      <c r="E136" t="str">
        <f t="shared" si="13"/>
        <v>25</v>
      </c>
      <c r="F136" t="str">
        <f t="shared" si="14"/>
        <v>SE</v>
      </c>
      <c r="G136" t="str">
        <f t="shared" si="15"/>
        <v>25SE21</v>
      </c>
    </row>
    <row r="137" spans="1:7">
      <c r="A137" s="1">
        <f>+'2025'!N17</f>
        <v>45922</v>
      </c>
      <c r="B137" s="5">
        <f t="shared" si="16"/>
        <v>22</v>
      </c>
      <c r="C137" s="6" t="str">
        <f t="shared" si="17"/>
        <v>22</v>
      </c>
      <c r="D137" s="4" t="str">
        <f t="shared" si="12"/>
        <v>Sep</v>
      </c>
      <c r="E137" t="str">
        <f t="shared" si="13"/>
        <v>25</v>
      </c>
      <c r="F137" t="str">
        <f t="shared" si="14"/>
        <v>SE</v>
      </c>
      <c r="G137" t="str">
        <f t="shared" si="15"/>
        <v>25SE22</v>
      </c>
    </row>
    <row r="138" spans="1:7">
      <c r="A138" s="1">
        <f>+'2025'!N18</f>
        <v>45923</v>
      </c>
      <c r="B138" s="5">
        <f t="shared" si="16"/>
        <v>23</v>
      </c>
      <c r="C138" s="6" t="str">
        <f t="shared" si="17"/>
        <v>23</v>
      </c>
      <c r="D138" s="4" t="str">
        <f t="shared" si="12"/>
        <v>Sep</v>
      </c>
      <c r="E138" t="str">
        <f t="shared" si="13"/>
        <v>25</v>
      </c>
      <c r="F138" t="str">
        <f t="shared" si="14"/>
        <v>SE</v>
      </c>
      <c r="G138" t="str">
        <f t="shared" si="15"/>
        <v>25SE23</v>
      </c>
    </row>
    <row r="139" spans="1:7">
      <c r="A139" s="1">
        <f>+'2025'!N19</f>
        <v>45924</v>
      </c>
      <c r="B139" s="5">
        <f t="shared" si="16"/>
        <v>24</v>
      </c>
      <c r="C139" s="6" t="str">
        <f t="shared" si="17"/>
        <v>24</v>
      </c>
      <c r="D139" s="4" t="str">
        <f t="shared" si="12"/>
        <v>Sep</v>
      </c>
      <c r="E139" t="str">
        <f t="shared" si="13"/>
        <v>25</v>
      </c>
      <c r="F139" t="str">
        <f t="shared" si="14"/>
        <v>SE</v>
      </c>
      <c r="G139" t="str">
        <f t="shared" si="15"/>
        <v>25SE24</v>
      </c>
    </row>
    <row r="140" spans="1:7">
      <c r="A140" s="1">
        <f>+'2025'!N20</f>
        <v>45925</v>
      </c>
      <c r="B140" s="5">
        <f t="shared" si="16"/>
        <v>25</v>
      </c>
      <c r="C140" s="6" t="str">
        <f t="shared" si="17"/>
        <v>25</v>
      </c>
      <c r="D140" s="4" t="str">
        <f t="shared" si="12"/>
        <v>Sep</v>
      </c>
      <c r="E140" t="str">
        <f t="shared" si="13"/>
        <v>25</v>
      </c>
      <c r="F140" t="str">
        <f t="shared" si="14"/>
        <v>SE</v>
      </c>
      <c r="G140" t="str">
        <f t="shared" si="15"/>
        <v>25SE25</v>
      </c>
    </row>
    <row r="141" spans="1:7">
      <c r="A141" s="1">
        <f>+'2025'!N21</f>
        <v>45926</v>
      </c>
      <c r="B141" s="5">
        <f t="shared" si="16"/>
        <v>26</v>
      </c>
      <c r="C141" s="6" t="str">
        <f t="shared" si="17"/>
        <v>26</v>
      </c>
      <c r="D141" s="4" t="str">
        <f t="shared" si="12"/>
        <v>Sep</v>
      </c>
      <c r="E141" t="str">
        <f t="shared" si="13"/>
        <v>25</v>
      </c>
      <c r="F141" t="str">
        <f t="shared" si="14"/>
        <v>SE</v>
      </c>
      <c r="G141" t="str">
        <f t="shared" si="15"/>
        <v>25SE26</v>
      </c>
    </row>
    <row r="142" spans="1:7">
      <c r="A142" s="1">
        <f>+'2025'!N22</f>
        <v>45927</v>
      </c>
      <c r="B142" s="5">
        <f t="shared" si="16"/>
        <v>27</v>
      </c>
      <c r="C142" s="6" t="str">
        <f t="shared" si="17"/>
        <v>27</v>
      </c>
      <c r="D142" s="4" t="str">
        <f t="shared" si="12"/>
        <v>Sep</v>
      </c>
      <c r="E142" t="str">
        <f t="shared" si="13"/>
        <v>25</v>
      </c>
      <c r="F142" t="str">
        <f t="shared" si="14"/>
        <v>SE</v>
      </c>
      <c r="G142" t="str">
        <f t="shared" si="15"/>
        <v>25SE27</v>
      </c>
    </row>
    <row r="143" spans="1:7">
      <c r="A143" s="1">
        <f>+'2025'!N23</f>
        <v>45928</v>
      </c>
      <c r="B143" s="5">
        <f t="shared" si="16"/>
        <v>28</v>
      </c>
      <c r="C143" s="6" t="str">
        <f t="shared" si="17"/>
        <v>28</v>
      </c>
      <c r="D143" s="4" t="str">
        <f t="shared" si="12"/>
        <v>Sep</v>
      </c>
      <c r="E143" t="str">
        <f t="shared" si="13"/>
        <v>25</v>
      </c>
      <c r="F143" t="str">
        <f t="shared" si="14"/>
        <v>SE</v>
      </c>
      <c r="G143" t="str">
        <f t="shared" si="15"/>
        <v>25SE28</v>
      </c>
    </row>
    <row r="144" spans="1:7">
      <c r="A144" s="1">
        <f>+'2025'!N24</f>
        <v>45929</v>
      </c>
      <c r="B144" s="5">
        <f t="shared" si="16"/>
        <v>29</v>
      </c>
      <c r="C144" s="6" t="str">
        <f t="shared" si="17"/>
        <v>29</v>
      </c>
      <c r="D144" s="4" t="str">
        <f t="shared" si="12"/>
        <v>Sep</v>
      </c>
      <c r="E144" t="str">
        <f t="shared" si="13"/>
        <v>25</v>
      </c>
      <c r="F144" t="str">
        <f t="shared" si="14"/>
        <v>SE</v>
      </c>
      <c r="G144" t="str">
        <f t="shared" si="15"/>
        <v>25SE29</v>
      </c>
    </row>
    <row r="145" spans="1:7">
      <c r="A145" s="1">
        <f>+'2025'!N25</f>
        <v>45930</v>
      </c>
      <c r="B145" s="5">
        <f t="shared" si="16"/>
        <v>30</v>
      </c>
      <c r="C145" s="6" t="str">
        <f t="shared" si="17"/>
        <v>30</v>
      </c>
      <c r="D145" s="4" t="str">
        <f t="shared" si="12"/>
        <v>Sep</v>
      </c>
      <c r="E145" t="str">
        <f t="shared" si="13"/>
        <v>25</v>
      </c>
      <c r="F145" t="str">
        <f t="shared" si="14"/>
        <v>SE</v>
      </c>
      <c r="G145" t="str">
        <f t="shared" si="15"/>
        <v>25SE30</v>
      </c>
    </row>
    <row r="146" spans="1:7">
      <c r="A146" s="1">
        <f>+'2025'!N26</f>
        <v>45931</v>
      </c>
      <c r="B146" s="5">
        <f t="shared" si="16"/>
        <v>1</v>
      </c>
      <c r="C146" s="6" t="str">
        <f t="shared" si="17"/>
        <v>01</v>
      </c>
      <c r="D146" s="4" t="str">
        <f t="shared" si="12"/>
        <v>Oct</v>
      </c>
      <c r="E146" t="str">
        <f t="shared" si="13"/>
        <v>25</v>
      </c>
      <c r="F146" t="str">
        <f t="shared" si="14"/>
        <v>OC</v>
      </c>
      <c r="G146" t="str">
        <f t="shared" si="15"/>
        <v>25OC01</v>
      </c>
    </row>
    <row r="147" spans="1:7">
      <c r="A147" s="1">
        <f>+'2025'!N27</f>
        <v>45932</v>
      </c>
      <c r="B147" s="5">
        <f t="shared" si="16"/>
        <v>2</v>
      </c>
      <c r="C147" s="6" t="str">
        <f t="shared" si="17"/>
        <v>02</v>
      </c>
      <c r="D147" s="4" t="str">
        <f t="shared" ref="D147:D210" si="18">+TEXT(A147,"mmm")</f>
        <v>Oct</v>
      </c>
      <c r="E147" t="str">
        <f t="shared" ref="E147:E210" si="19">+TEXT(A147,"yy")</f>
        <v>25</v>
      </c>
      <c r="F147" t="str">
        <f t="shared" ref="F147:F210" si="20">VLOOKUP(D147,$I$3:$J$14,2,FALSE)</f>
        <v>OC</v>
      </c>
      <c r="G147" t="str">
        <f t="shared" ref="G147:G210" si="21">+E147&amp;F147&amp;C147</f>
        <v>25OC02</v>
      </c>
    </row>
    <row r="148" spans="1:7">
      <c r="A148" s="1">
        <f>+'2025'!N28</f>
        <v>45933</v>
      </c>
      <c r="B148" s="5">
        <f t="shared" si="16"/>
        <v>3</v>
      </c>
      <c r="C148" s="6" t="str">
        <f t="shared" si="17"/>
        <v>03</v>
      </c>
      <c r="D148" s="4" t="str">
        <f t="shared" si="18"/>
        <v>Oct</v>
      </c>
      <c r="E148" t="str">
        <f t="shared" si="19"/>
        <v>25</v>
      </c>
      <c r="F148" t="str">
        <f t="shared" si="20"/>
        <v>OC</v>
      </c>
      <c r="G148" t="str">
        <f t="shared" si="21"/>
        <v>25OC03</v>
      </c>
    </row>
    <row r="149" spans="1:7">
      <c r="A149" s="1">
        <f>+'2025'!N29</f>
        <v>45934</v>
      </c>
      <c r="B149" s="5">
        <f t="shared" si="16"/>
        <v>4</v>
      </c>
      <c r="C149" s="6" t="str">
        <f t="shared" si="17"/>
        <v>04</v>
      </c>
      <c r="D149" s="4" t="str">
        <f t="shared" si="18"/>
        <v>Oct</v>
      </c>
      <c r="E149" t="str">
        <f t="shared" si="19"/>
        <v>25</v>
      </c>
      <c r="F149" t="str">
        <f t="shared" si="20"/>
        <v>OC</v>
      </c>
      <c r="G149" t="str">
        <f t="shared" si="21"/>
        <v>25OC04</v>
      </c>
    </row>
    <row r="150" spans="1:7">
      <c r="A150" s="1">
        <f>+'2025'!N30</f>
        <v>45935</v>
      </c>
      <c r="B150" s="5">
        <f t="shared" si="16"/>
        <v>5</v>
      </c>
      <c r="C150" s="6" t="str">
        <f t="shared" si="17"/>
        <v>05</v>
      </c>
      <c r="D150" s="4" t="str">
        <f t="shared" si="18"/>
        <v>Oct</v>
      </c>
      <c r="E150" t="str">
        <f t="shared" si="19"/>
        <v>25</v>
      </c>
      <c r="F150" t="str">
        <f t="shared" si="20"/>
        <v>OC</v>
      </c>
      <c r="G150" t="str">
        <f t="shared" si="21"/>
        <v>25OC05</v>
      </c>
    </row>
    <row r="151" spans="1:7">
      <c r="A151" s="1">
        <f>+'2025'!N31</f>
        <v>45936</v>
      </c>
      <c r="B151" s="5">
        <f t="shared" si="16"/>
        <v>6</v>
      </c>
      <c r="C151" s="6" t="str">
        <f t="shared" si="17"/>
        <v>06</v>
      </c>
      <c r="D151" s="4" t="str">
        <f t="shared" si="18"/>
        <v>Oct</v>
      </c>
      <c r="E151" t="str">
        <f t="shared" si="19"/>
        <v>25</v>
      </c>
      <c r="F151" t="str">
        <f t="shared" si="20"/>
        <v>OC</v>
      </c>
      <c r="G151" t="str">
        <f t="shared" si="21"/>
        <v>25OC06</v>
      </c>
    </row>
    <row r="152" spans="1:7">
      <c r="A152" s="1">
        <f>+'2025'!N32</f>
        <v>45937</v>
      </c>
      <c r="B152" s="5">
        <f t="shared" si="16"/>
        <v>7</v>
      </c>
      <c r="C152" s="6" t="str">
        <f t="shared" si="17"/>
        <v>07</v>
      </c>
      <c r="D152" s="4" t="str">
        <f t="shared" si="18"/>
        <v>Oct</v>
      </c>
      <c r="E152" t="str">
        <f t="shared" si="19"/>
        <v>25</v>
      </c>
      <c r="F152" t="str">
        <f t="shared" si="20"/>
        <v>OC</v>
      </c>
      <c r="G152" t="str">
        <f t="shared" si="21"/>
        <v>25OC07</v>
      </c>
    </row>
    <row r="153" spans="1:7">
      <c r="A153" s="1">
        <f>+'2025'!N33</f>
        <v>45938</v>
      </c>
      <c r="B153" s="5">
        <f t="shared" si="16"/>
        <v>8</v>
      </c>
      <c r="C153" s="6" t="str">
        <f t="shared" si="17"/>
        <v>08</v>
      </c>
      <c r="D153" s="4" t="str">
        <f t="shared" si="18"/>
        <v>Oct</v>
      </c>
      <c r="E153" t="str">
        <f t="shared" si="19"/>
        <v>25</v>
      </c>
      <c r="F153" t="str">
        <f t="shared" si="20"/>
        <v>OC</v>
      </c>
      <c r="G153" t="str">
        <f t="shared" si="21"/>
        <v>25OC08</v>
      </c>
    </row>
    <row r="154" spans="1:7">
      <c r="A154" s="1">
        <f>+'2025'!Q3</f>
        <v>45939</v>
      </c>
      <c r="B154" s="5">
        <f t="shared" si="16"/>
        <v>9</v>
      </c>
      <c r="C154" s="6" t="str">
        <f t="shared" si="17"/>
        <v>09</v>
      </c>
      <c r="D154" s="4" t="str">
        <f t="shared" si="18"/>
        <v>Oct</v>
      </c>
      <c r="E154" t="str">
        <f t="shared" si="19"/>
        <v>25</v>
      </c>
      <c r="F154" t="str">
        <f t="shared" si="20"/>
        <v>OC</v>
      </c>
      <c r="G154" t="str">
        <f t="shared" si="21"/>
        <v>25OC09</v>
      </c>
    </row>
    <row r="155" spans="1:7">
      <c r="A155" s="1">
        <f>+'2025'!Q4</f>
        <v>45940</v>
      </c>
      <c r="B155" s="5">
        <f t="shared" si="16"/>
        <v>10</v>
      </c>
      <c r="C155" s="6" t="str">
        <f t="shared" si="17"/>
        <v>10</v>
      </c>
      <c r="D155" s="4" t="str">
        <f t="shared" si="18"/>
        <v>Oct</v>
      </c>
      <c r="E155" t="str">
        <f t="shared" si="19"/>
        <v>25</v>
      </c>
      <c r="F155" t="str">
        <f t="shared" si="20"/>
        <v>OC</v>
      </c>
      <c r="G155" t="str">
        <f t="shared" si="21"/>
        <v>25OC10</v>
      </c>
    </row>
    <row r="156" spans="1:7">
      <c r="A156" s="1">
        <f>+'2025'!Q5</f>
        <v>45941</v>
      </c>
      <c r="B156" s="5">
        <f t="shared" si="16"/>
        <v>11</v>
      </c>
      <c r="C156" s="6" t="str">
        <f t="shared" si="17"/>
        <v>11</v>
      </c>
      <c r="D156" s="4" t="str">
        <f t="shared" si="18"/>
        <v>Oct</v>
      </c>
      <c r="E156" t="str">
        <f t="shared" si="19"/>
        <v>25</v>
      </c>
      <c r="F156" t="str">
        <f t="shared" si="20"/>
        <v>OC</v>
      </c>
      <c r="G156" t="str">
        <f t="shared" si="21"/>
        <v>25OC11</v>
      </c>
    </row>
    <row r="157" spans="1:7">
      <c r="A157" s="1">
        <f>+'2025'!Q6</f>
        <v>45942</v>
      </c>
      <c r="B157" s="5">
        <f t="shared" si="16"/>
        <v>12</v>
      </c>
      <c r="C157" s="6" t="str">
        <f t="shared" si="17"/>
        <v>12</v>
      </c>
      <c r="D157" s="4" t="str">
        <f t="shared" si="18"/>
        <v>Oct</v>
      </c>
      <c r="E157" t="str">
        <f t="shared" si="19"/>
        <v>25</v>
      </c>
      <c r="F157" t="str">
        <f t="shared" si="20"/>
        <v>OC</v>
      </c>
      <c r="G157" t="str">
        <f t="shared" si="21"/>
        <v>25OC12</v>
      </c>
    </row>
    <row r="158" spans="1:7">
      <c r="A158" s="1">
        <f>+'2025'!Q7</f>
        <v>45943</v>
      </c>
      <c r="B158" s="5">
        <f t="shared" si="16"/>
        <v>13</v>
      </c>
      <c r="C158" s="6" t="str">
        <f t="shared" si="17"/>
        <v>13</v>
      </c>
      <c r="D158" s="4" t="str">
        <f t="shared" si="18"/>
        <v>Oct</v>
      </c>
      <c r="E158" t="str">
        <f t="shared" si="19"/>
        <v>25</v>
      </c>
      <c r="F158" t="str">
        <f t="shared" si="20"/>
        <v>OC</v>
      </c>
      <c r="G158" t="str">
        <f t="shared" si="21"/>
        <v>25OC13</v>
      </c>
    </row>
    <row r="159" spans="1:7">
      <c r="A159" s="1">
        <f>+'2025'!Q8</f>
        <v>45944</v>
      </c>
      <c r="B159" s="5">
        <f t="shared" si="16"/>
        <v>14</v>
      </c>
      <c r="C159" s="6" t="str">
        <f t="shared" si="17"/>
        <v>14</v>
      </c>
      <c r="D159" s="4" t="str">
        <f t="shared" si="18"/>
        <v>Oct</v>
      </c>
      <c r="E159" t="str">
        <f t="shared" si="19"/>
        <v>25</v>
      </c>
      <c r="F159" t="str">
        <f t="shared" si="20"/>
        <v>OC</v>
      </c>
      <c r="G159" t="str">
        <f t="shared" si="21"/>
        <v>25OC14</v>
      </c>
    </row>
    <row r="160" spans="1:7">
      <c r="A160" s="1">
        <f>+'2025'!Q9</f>
        <v>45945</v>
      </c>
      <c r="B160" s="5">
        <f t="shared" si="16"/>
        <v>15</v>
      </c>
      <c r="C160" s="6" t="str">
        <f t="shared" si="17"/>
        <v>15</v>
      </c>
      <c r="D160" s="4" t="str">
        <f t="shared" si="18"/>
        <v>Oct</v>
      </c>
      <c r="E160" t="str">
        <f t="shared" si="19"/>
        <v>25</v>
      </c>
      <c r="F160" t="str">
        <f t="shared" si="20"/>
        <v>OC</v>
      </c>
      <c r="G160" t="str">
        <f t="shared" si="21"/>
        <v>25OC15</v>
      </c>
    </row>
    <row r="161" spans="1:7">
      <c r="A161" s="1">
        <f>+'2025'!Q10</f>
        <v>45946</v>
      </c>
      <c r="B161" s="5">
        <f t="shared" si="16"/>
        <v>16</v>
      </c>
      <c r="C161" s="6" t="str">
        <f t="shared" si="17"/>
        <v>16</v>
      </c>
      <c r="D161" s="4" t="str">
        <f t="shared" si="18"/>
        <v>Oct</v>
      </c>
      <c r="E161" t="str">
        <f t="shared" si="19"/>
        <v>25</v>
      </c>
      <c r="F161" t="str">
        <f t="shared" si="20"/>
        <v>OC</v>
      </c>
      <c r="G161" t="str">
        <f t="shared" si="21"/>
        <v>25OC16</v>
      </c>
    </row>
    <row r="162" spans="1:7">
      <c r="A162" s="1">
        <f>+'2025'!Q11</f>
        <v>45947</v>
      </c>
      <c r="B162" s="5">
        <f t="shared" si="16"/>
        <v>17</v>
      </c>
      <c r="C162" s="6" t="str">
        <f t="shared" si="17"/>
        <v>17</v>
      </c>
      <c r="D162" s="4" t="str">
        <f t="shared" si="18"/>
        <v>Oct</v>
      </c>
      <c r="E162" t="str">
        <f t="shared" si="19"/>
        <v>25</v>
      </c>
      <c r="F162" t="str">
        <f t="shared" si="20"/>
        <v>OC</v>
      </c>
      <c r="G162" t="str">
        <f t="shared" si="21"/>
        <v>25OC17</v>
      </c>
    </row>
    <row r="163" spans="1:7">
      <c r="A163" s="1">
        <f>+'2025'!Q12</f>
        <v>45948</v>
      </c>
      <c r="B163" s="5">
        <f t="shared" si="16"/>
        <v>18</v>
      </c>
      <c r="C163" s="6" t="str">
        <f t="shared" si="17"/>
        <v>18</v>
      </c>
      <c r="D163" s="4" t="str">
        <f t="shared" si="18"/>
        <v>Oct</v>
      </c>
      <c r="E163" t="str">
        <f t="shared" si="19"/>
        <v>25</v>
      </c>
      <c r="F163" t="str">
        <f t="shared" si="20"/>
        <v>OC</v>
      </c>
      <c r="G163" t="str">
        <f t="shared" si="21"/>
        <v>25OC18</v>
      </c>
    </row>
    <row r="164" spans="1:7">
      <c r="A164" s="1">
        <f>+'2025'!Q13</f>
        <v>45949</v>
      </c>
      <c r="B164" s="5">
        <f t="shared" si="16"/>
        <v>19</v>
      </c>
      <c r="C164" s="6" t="str">
        <f t="shared" si="17"/>
        <v>19</v>
      </c>
      <c r="D164" s="4" t="str">
        <f t="shared" si="18"/>
        <v>Oct</v>
      </c>
      <c r="E164" t="str">
        <f t="shared" si="19"/>
        <v>25</v>
      </c>
      <c r="F164" t="str">
        <f t="shared" si="20"/>
        <v>OC</v>
      </c>
      <c r="G164" t="str">
        <f t="shared" si="21"/>
        <v>25OC19</v>
      </c>
    </row>
    <row r="165" spans="1:7">
      <c r="A165" s="1">
        <f>+'2025'!Q14</f>
        <v>45950</v>
      </c>
      <c r="B165" s="5">
        <f t="shared" si="16"/>
        <v>20</v>
      </c>
      <c r="C165" s="6" t="str">
        <f t="shared" si="17"/>
        <v>20</v>
      </c>
      <c r="D165" s="4" t="str">
        <f t="shared" si="18"/>
        <v>Oct</v>
      </c>
      <c r="E165" t="str">
        <f t="shared" si="19"/>
        <v>25</v>
      </c>
      <c r="F165" t="str">
        <f t="shared" si="20"/>
        <v>OC</v>
      </c>
      <c r="G165" t="str">
        <f t="shared" si="21"/>
        <v>25OC20</v>
      </c>
    </row>
    <row r="166" spans="1:7">
      <c r="A166" s="1">
        <f>+'2025'!Q15</f>
        <v>45951</v>
      </c>
      <c r="B166" s="5">
        <f t="shared" si="16"/>
        <v>21</v>
      </c>
      <c r="C166" s="6" t="str">
        <f t="shared" si="17"/>
        <v>21</v>
      </c>
      <c r="D166" s="4" t="str">
        <f t="shared" si="18"/>
        <v>Oct</v>
      </c>
      <c r="E166" t="str">
        <f t="shared" si="19"/>
        <v>25</v>
      </c>
      <c r="F166" t="str">
        <f t="shared" si="20"/>
        <v>OC</v>
      </c>
      <c r="G166" t="str">
        <f t="shared" si="21"/>
        <v>25OC21</v>
      </c>
    </row>
    <row r="167" spans="1:7">
      <c r="A167" s="1">
        <f>+'2025'!Q16</f>
        <v>45952</v>
      </c>
      <c r="B167" s="5">
        <f t="shared" si="16"/>
        <v>22</v>
      </c>
      <c r="C167" s="6" t="str">
        <f t="shared" si="17"/>
        <v>22</v>
      </c>
      <c r="D167" s="4" t="str">
        <f t="shared" si="18"/>
        <v>Oct</v>
      </c>
      <c r="E167" t="str">
        <f t="shared" si="19"/>
        <v>25</v>
      </c>
      <c r="F167" t="str">
        <f t="shared" si="20"/>
        <v>OC</v>
      </c>
      <c r="G167" t="str">
        <f t="shared" si="21"/>
        <v>25OC22</v>
      </c>
    </row>
    <row r="168" spans="1:7">
      <c r="A168" s="1">
        <f>+'2025'!Q17</f>
        <v>45953</v>
      </c>
      <c r="B168" s="5">
        <f t="shared" si="16"/>
        <v>23</v>
      </c>
      <c r="C168" s="6" t="str">
        <f t="shared" si="17"/>
        <v>23</v>
      </c>
      <c r="D168" s="4" t="str">
        <f t="shared" si="18"/>
        <v>Oct</v>
      </c>
      <c r="E168" t="str">
        <f t="shared" si="19"/>
        <v>25</v>
      </c>
      <c r="F168" t="str">
        <f t="shared" si="20"/>
        <v>OC</v>
      </c>
      <c r="G168" t="str">
        <f t="shared" si="21"/>
        <v>25OC23</v>
      </c>
    </row>
    <row r="169" spans="1:7">
      <c r="A169" s="1">
        <f>+'2025'!Q18</f>
        <v>45954</v>
      </c>
      <c r="B169" s="5">
        <f t="shared" si="16"/>
        <v>24</v>
      </c>
      <c r="C169" s="6" t="str">
        <f t="shared" si="17"/>
        <v>24</v>
      </c>
      <c r="D169" s="4" t="str">
        <f t="shared" si="18"/>
        <v>Oct</v>
      </c>
      <c r="E169" t="str">
        <f t="shared" si="19"/>
        <v>25</v>
      </c>
      <c r="F169" t="str">
        <f t="shared" si="20"/>
        <v>OC</v>
      </c>
      <c r="G169" t="str">
        <f t="shared" si="21"/>
        <v>25OC24</v>
      </c>
    </row>
    <row r="170" spans="1:7">
      <c r="A170" s="1">
        <f>+'2025'!Q19</f>
        <v>45955</v>
      </c>
      <c r="B170" s="5">
        <f t="shared" si="16"/>
        <v>25</v>
      </c>
      <c r="C170" s="6" t="str">
        <f t="shared" si="17"/>
        <v>25</v>
      </c>
      <c r="D170" s="4" t="str">
        <f t="shared" si="18"/>
        <v>Oct</v>
      </c>
      <c r="E170" t="str">
        <f t="shared" si="19"/>
        <v>25</v>
      </c>
      <c r="F170" t="str">
        <f t="shared" si="20"/>
        <v>OC</v>
      </c>
      <c r="G170" t="str">
        <f t="shared" si="21"/>
        <v>25OC25</v>
      </c>
    </row>
    <row r="171" spans="1:7">
      <c r="A171" s="1">
        <f>+'2025'!Q20</f>
        <v>45956</v>
      </c>
      <c r="B171" s="5">
        <f t="shared" si="16"/>
        <v>26</v>
      </c>
      <c r="C171" s="6" t="str">
        <f t="shared" si="17"/>
        <v>26</v>
      </c>
      <c r="D171" s="4" t="str">
        <f t="shared" si="18"/>
        <v>Oct</v>
      </c>
      <c r="E171" t="str">
        <f t="shared" si="19"/>
        <v>25</v>
      </c>
      <c r="F171" t="str">
        <f t="shared" si="20"/>
        <v>OC</v>
      </c>
      <c r="G171" t="str">
        <f t="shared" si="21"/>
        <v>25OC26</v>
      </c>
    </row>
    <row r="172" spans="1:7">
      <c r="A172" s="1">
        <f>+'2025'!Q21</f>
        <v>45957</v>
      </c>
      <c r="B172" s="5">
        <f t="shared" si="16"/>
        <v>27</v>
      </c>
      <c r="C172" s="6" t="str">
        <f t="shared" si="17"/>
        <v>27</v>
      </c>
      <c r="D172" s="4" t="str">
        <f t="shared" si="18"/>
        <v>Oct</v>
      </c>
      <c r="E172" t="str">
        <f t="shared" si="19"/>
        <v>25</v>
      </c>
      <c r="F172" t="str">
        <f t="shared" si="20"/>
        <v>OC</v>
      </c>
      <c r="G172" t="str">
        <f t="shared" si="21"/>
        <v>25OC27</v>
      </c>
    </row>
    <row r="173" spans="1:7">
      <c r="A173" s="1">
        <f>+'2025'!Q22</f>
        <v>45958</v>
      </c>
      <c r="B173" s="5">
        <f t="shared" si="16"/>
        <v>28</v>
      </c>
      <c r="C173" s="6" t="str">
        <f t="shared" si="17"/>
        <v>28</v>
      </c>
      <c r="D173" s="4" t="str">
        <f t="shared" si="18"/>
        <v>Oct</v>
      </c>
      <c r="E173" t="str">
        <f t="shared" si="19"/>
        <v>25</v>
      </c>
      <c r="F173" t="str">
        <f t="shared" si="20"/>
        <v>OC</v>
      </c>
      <c r="G173" t="str">
        <f t="shared" si="21"/>
        <v>25OC28</v>
      </c>
    </row>
    <row r="174" spans="1:7">
      <c r="A174" s="1">
        <f>+'2025'!Q23</f>
        <v>45959</v>
      </c>
      <c r="B174" s="5">
        <f t="shared" si="16"/>
        <v>29</v>
      </c>
      <c r="C174" s="6" t="str">
        <f t="shared" si="17"/>
        <v>29</v>
      </c>
      <c r="D174" s="4" t="str">
        <f t="shared" si="18"/>
        <v>Oct</v>
      </c>
      <c r="E174" t="str">
        <f t="shared" si="19"/>
        <v>25</v>
      </c>
      <c r="F174" t="str">
        <f t="shared" si="20"/>
        <v>OC</v>
      </c>
      <c r="G174" t="str">
        <f t="shared" si="21"/>
        <v>25OC29</v>
      </c>
    </row>
    <row r="175" spans="1:7">
      <c r="A175" s="1">
        <f>+'2025'!Q24</f>
        <v>45960</v>
      </c>
      <c r="B175" s="5">
        <f t="shared" si="16"/>
        <v>30</v>
      </c>
      <c r="C175" s="6" t="str">
        <f t="shared" si="17"/>
        <v>30</v>
      </c>
      <c r="D175" s="4" t="str">
        <f t="shared" si="18"/>
        <v>Oct</v>
      </c>
      <c r="E175" t="str">
        <f t="shared" si="19"/>
        <v>25</v>
      </c>
      <c r="F175" t="str">
        <f t="shared" si="20"/>
        <v>OC</v>
      </c>
      <c r="G175" t="str">
        <f t="shared" si="21"/>
        <v>25OC30</v>
      </c>
    </row>
    <row r="176" spans="1:7">
      <c r="A176" s="1">
        <f>+'2025'!Q25</f>
        <v>45961</v>
      </c>
      <c r="B176" s="5">
        <f t="shared" si="16"/>
        <v>31</v>
      </c>
      <c r="C176" s="6" t="str">
        <f t="shared" si="17"/>
        <v>31</v>
      </c>
      <c r="D176" s="4" t="str">
        <f t="shared" si="18"/>
        <v>Oct</v>
      </c>
      <c r="E176" t="str">
        <f t="shared" si="19"/>
        <v>25</v>
      </c>
      <c r="F176" t="str">
        <f t="shared" si="20"/>
        <v>OC</v>
      </c>
      <c r="G176" t="str">
        <f t="shared" si="21"/>
        <v>25OC31</v>
      </c>
    </row>
    <row r="177" spans="1:7">
      <c r="A177" s="1">
        <f>+'2025'!Q26</f>
        <v>45962</v>
      </c>
      <c r="B177" s="5">
        <f t="shared" si="16"/>
        <v>1</v>
      </c>
      <c r="C177" s="6" t="str">
        <f t="shared" si="17"/>
        <v>01</v>
      </c>
      <c r="D177" s="4" t="str">
        <f t="shared" si="18"/>
        <v>Nov</v>
      </c>
      <c r="E177" t="str">
        <f t="shared" si="19"/>
        <v>25</v>
      </c>
      <c r="F177" t="str">
        <f t="shared" si="20"/>
        <v>NO</v>
      </c>
      <c r="G177" t="str">
        <f t="shared" si="21"/>
        <v>25NO01</v>
      </c>
    </row>
    <row r="178" spans="1:7">
      <c r="A178" s="1">
        <f>+'2025'!Q27</f>
        <v>45963</v>
      </c>
      <c r="B178" s="5">
        <f t="shared" si="16"/>
        <v>2</v>
      </c>
      <c r="C178" s="6" t="str">
        <f t="shared" si="17"/>
        <v>02</v>
      </c>
      <c r="D178" s="4" t="str">
        <f t="shared" si="18"/>
        <v>Nov</v>
      </c>
      <c r="E178" t="str">
        <f t="shared" si="19"/>
        <v>25</v>
      </c>
      <c r="F178" t="str">
        <f t="shared" si="20"/>
        <v>NO</v>
      </c>
      <c r="G178" t="str">
        <f t="shared" si="21"/>
        <v>25NO02</v>
      </c>
    </row>
    <row r="179" spans="1:7">
      <c r="A179" s="1">
        <f>+'2025'!Q28</f>
        <v>45964</v>
      </c>
      <c r="B179" s="5">
        <f t="shared" si="16"/>
        <v>3</v>
      </c>
      <c r="C179" s="6" t="str">
        <f t="shared" si="17"/>
        <v>03</v>
      </c>
      <c r="D179" s="4" t="str">
        <f t="shared" si="18"/>
        <v>Nov</v>
      </c>
      <c r="E179" t="str">
        <f t="shared" si="19"/>
        <v>25</v>
      </c>
      <c r="F179" t="str">
        <f t="shared" si="20"/>
        <v>NO</v>
      </c>
      <c r="G179" t="str">
        <f t="shared" si="21"/>
        <v>25NO03</v>
      </c>
    </row>
    <row r="180" spans="1:7">
      <c r="A180" s="1">
        <f>+'2025'!Q29</f>
        <v>45965</v>
      </c>
      <c r="B180" s="5">
        <f t="shared" si="16"/>
        <v>4</v>
      </c>
      <c r="C180" s="6" t="str">
        <f t="shared" si="17"/>
        <v>04</v>
      </c>
      <c r="D180" s="4" t="str">
        <f t="shared" si="18"/>
        <v>Nov</v>
      </c>
      <c r="E180" t="str">
        <f t="shared" si="19"/>
        <v>25</v>
      </c>
      <c r="F180" t="str">
        <f t="shared" si="20"/>
        <v>NO</v>
      </c>
      <c r="G180" t="str">
        <f t="shared" si="21"/>
        <v>25NO04</v>
      </c>
    </row>
    <row r="181" spans="1:7">
      <c r="A181" s="1">
        <f>+'2025'!Q30</f>
        <v>45966</v>
      </c>
      <c r="B181" s="5">
        <f t="shared" si="16"/>
        <v>5</v>
      </c>
      <c r="C181" s="6" t="str">
        <f t="shared" si="17"/>
        <v>05</v>
      </c>
      <c r="D181" s="4" t="str">
        <f t="shared" si="18"/>
        <v>Nov</v>
      </c>
      <c r="E181" t="str">
        <f t="shared" si="19"/>
        <v>25</v>
      </c>
      <c r="F181" t="str">
        <f t="shared" si="20"/>
        <v>NO</v>
      </c>
      <c r="G181" t="str">
        <f t="shared" si="21"/>
        <v>25NO05</v>
      </c>
    </row>
    <row r="182" spans="1:7">
      <c r="A182" s="1">
        <f>+'2025'!Q31</f>
        <v>45967</v>
      </c>
      <c r="B182" s="5">
        <f t="shared" si="16"/>
        <v>6</v>
      </c>
      <c r="C182" s="6" t="str">
        <f t="shared" si="17"/>
        <v>06</v>
      </c>
      <c r="D182" s="4" t="str">
        <f t="shared" si="18"/>
        <v>Nov</v>
      </c>
      <c r="E182" t="str">
        <f t="shared" si="19"/>
        <v>25</v>
      </c>
      <c r="F182" t="str">
        <f t="shared" si="20"/>
        <v>NO</v>
      </c>
      <c r="G182" t="str">
        <f t="shared" si="21"/>
        <v>25NO06</v>
      </c>
    </row>
    <row r="183" spans="1:7">
      <c r="A183" s="1">
        <f>+'2025'!Q32</f>
        <v>45968</v>
      </c>
      <c r="B183" s="5">
        <f t="shared" si="16"/>
        <v>7</v>
      </c>
      <c r="C183" s="6" t="str">
        <f t="shared" si="17"/>
        <v>07</v>
      </c>
      <c r="D183" s="4" t="str">
        <f t="shared" si="18"/>
        <v>Nov</v>
      </c>
      <c r="E183" t="str">
        <f t="shared" si="19"/>
        <v>25</v>
      </c>
      <c r="F183" t="str">
        <f t="shared" si="20"/>
        <v>NO</v>
      </c>
      <c r="G183" t="str">
        <f t="shared" si="21"/>
        <v>25NO07</v>
      </c>
    </row>
    <row r="184" spans="1:7">
      <c r="A184" s="1">
        <f>+'2025'!T3</f>
        <v>45969</v>
      </c>
      <c r="B184" s="5">
        <f t="shared" si="16"/>
        <v>8</v>
      </c>
      <c r="C184" s="6" t="str">
        <f t="shared" si="17"/>
        <v>08</v>
      </c>
      <c r="D184" s="4" t="str">
        <f t="shared" si="18"/>
        <v>Nov</v>
      </c>
      <c r="E184" t="str">
        <f t="shared" si="19"/>
        <v>25</v>
      </c>
      <c r="F184" t="str">
        <f t="shared" si="20"/>
        <v>NO</v>
      </c>
      <c r="G184" t="str">
        <f t="shared" si="21"/>
        <v>25NO08</v>
      </c>
    </row>
    <row r="185" spans="1:7">
      <c r="A185" s="1">
        <f>+'2025'!T4</f>
        <v>45970</v>
      </c>
      <c r="B185" s="5">
        <f t="shared" si="16"/>
        <v>9</v>
      </c>
      <c r="C185" s="6" t="str">
        <f t="shared" si="17"/>
        <v>09</v>
      </c>
      <c r="D185" s="4" t="str">
        <f t="shared" si="18"/>
        <v>Nov</v>
      </c>
      <c r="E185" t="str">
        <f t="shared" si="19"/>
        <v>25</v>
      </c>
      <c r="F185" t="str">
        <f t="shared" si="20"/>
        <v>NO</v>
      </c>
      <c r="G185" t="str">
        <f t="shared" si="21"/>
        <v>25NO09</v>
      </c>
    </row>
    <row r="186" spans="1:7">
      <c r="A186" s="1">
        <f>+'2025'!T5</f>
        <v>45971</v>
      </c>
      <c r="B186" s="5">
        <f t="shared" si="16"/>
        <v>10</v>
      </c>
      <c r="C186" s="6" t="str">
        <f t="shared" si="17"/>
        <v>10</v>
      </c>
      <c r="D186" s="4" t="str">
        <f t="shared" si="18"/>
        <v>Nov</v>
      </c>
      <c r="E186" t="str">
        <f t="shared" si="19"/>
        <v>25</v>
      </c>
      <c r="F186" t="str">
        <f t="shared" si="20"/>
        <v>NO</v>
      </c>
      <c r="G186" t="str">
        <f t="shared" si="21"/>
        <v>25NO10</v>
      </c>
    </row>
    <row r="187" spans="1:7">
      <c r="A187" s="1">
        <f>+'2025'!T6</f>
        <v>45972</v>
      </c>
      <c r="B187" s="5">
        <f t="shared" si="16"/>
        <v>11</v>
      </c>
      <c r="C187" s="6" t="str">
        <f t="shared" si="17"/>
        <v>11</v>
      </c>
      <c r="D187" s="4" t="str">
        <f t="shared" si="18"/>
        <v>Nov</v>
      </c>
      <c r="E187" t="str">
        <f t="shared" si="19"/>
        <v>25</v>
      </c>
      <c r="F187" t="str">
        <f t="shared" si="20"/>
        <v>NO</v>
      </c>
      <c r="G187" t="str">
        <f t="shared" si="21"/>
        <v>25NO11</v>
      </c>
    </row>
    <row r="188" spans="1:7">
      <c r="A188" s="1">
        <f>+'2025'!T7</f>
        <v>45973</v>
      </c>
      <c r="B188" s="5">
        <f t="shared" si="16"/>
        <v>12</v>
      </c>
      <c r="C188" s="6" t="str">
        <f t="shared" si="17"/>
        <v>12</v>
      </c>
      <c r="D188" s="4" t="str">
        <f t="shared" si="18"/>
        <v>Nov</v>
      </c>
      <c r="E188" t="str">
        <f t="shared" si="19"/>
        <v>25</v>
      </c>
      <c r="F188" t="str">
        <f t="shared" si="20"/>
        <v>NO</v>
      </c>
      <c r="G188" t="str">
        <f t="shared" si="21"/>
        <v>25NO12</v>
      </c>
    </row>
    <row r="189" spans="1:7">
      <c r="A189" s="1">
        <f>+'2025'!T8</f>
        <v>45974</v>
      </c>
      <c r="B189" s="5">
        <f t="shared" si="16"/>
        <v>13</v>
      </c>
      <c r="C189" s="6" t="str">
        <f t="shared" si="17"/>
        <v>13</v>
      </c>
      <c r="D189" s="4" t="str">
        <f t="shared" si="18"/>
        <v>Nov</v>
      </c>
      <c r="E189" t="str">
        <f t="shared" si="19"/>
        <v>25</v>
      </c>
      <c r="F189" t="str">
        <f t="shared" si="20"/>
        <v>NO</v>
      </c>
      <c r="G189" t="str">
        <f t="shared" si="21"/>
        <v>25NO13</v>
      </c>
    </row>
    <row r="190" spans="1:7">
      <c r="A190" s="1">
        <f>+'2025'!T9</f>
        <v>45975</v>
      </c>
      <c r="B190" s="5">
        <f t="shared" si="16"/>
        <v>14</v>
      </c>
      <c r="C190" s="6" t="str">
        <f t="shared" si="17"/>
        <v>14</v>
      </c>
      <c r="D190" s="4" t="str">
        <f t="shared" si="18"/>
        <v>Nov</v>
      </c>
      <c r="E190" t="str">
        <f t="shared" si="19"/>
        <v>25</v>
      </c>
      <c r="F190" t="str">
        <f t="shared" si="20"/>
        <v>NO</v>
      </c>
      <c r="G190" t="str">
        <f t="shared" si="21"/>
        <v>25NO14</v>
      </c>
    </row>
    <row r="191" spans="1:7">
      <c r="A191" s="1">
        <f>+'2025'!T10</f>
        <v>45976</v>
      </c>
      <c r="B191" s="5">
        <f t="shared" si="16"/>
        <v>15</v>
      </c>
      <c r="C191" s="6" t="str">
        <f t="shared" si="17"/>
        <v>15</v>
      </c>
      <c r="D191" s="4" t="str">
        <f t="shared" si="18"/>
        <v>Nov</v>
      </c>
      <c r="E191" t="str">
        <f t="shared" si="19"/>
        <v>25</v>
      </c>
      <c r="F191" t="str">
        <f t="shared" si="20"/>
        <v>NO</v>
      </c>
      <c r="G191" t="str">
        <f t="shared" si="21"/>
        <v>25NO15</v>
      </c>
    </row>
    <row r="192" spans="1:7">
      <c r="A192" s="1">
        <f>+'2025'!T11</f>
        <v>45977</v>
      </c>
      <c r="B192" s="5">
        <f t="shared" si="16"/>
        <v>16</v>
      </c>
      <c r="C192" s="6" t="str">
        <f t="shared" si="17"/>
        <v>16</v>
      </c>
      <c r="D192" s="4" t="str">
        <f t="shared" si="18"/>
        <v>Nov</v>
      </c>
      <c r="E192" t="str">
        <f t="shared" si="19"/>
        <v>25</v>
      </c>
      <c r="F192" t="str">
        <f t="shared" si="20"/>
        <v>NO</v>
      </c>
      <c r="G192" t="str">
        <f t="shared" si="21"/>
        <v>25NO16</v>
      </c>
    </row>
    <row r="193" spans="1:7">
      <c r="A193" s="1">
        <f>+'2025'!T12</f>
        <v>45978</v>
      </c>
      <c r="B193" s="5">
        <f t="shared" si="16"/>
        <v>17</v>
      </c>
      <c r="C193" s="6" t="str">
        <f t="shared" si="17"/>
        <v>17</v>
      </c>
      <c r="D193" s="4" t="str">
        <f t="shared" si="18"/>
        <v>Nov</v>
      </c>
      <c r="E193" t="str">
        <f t="shared" si="19"/>
        <v>25</v>
      </c>
      <c r="F193" t="str">
        <f t="shared" si="20"/>
        <v>NO</v>
      </c>
      <c r="G193" t="str">
        <f t="shared" si="21"/>
        <v>25NO17</v>
      </c>
    </row>
    <row r="194" spans="1:7">
      <c r="A194" s="1">
        <f>+'2025'!T13</f>
        <v>45979</v>
      </c>
      <c r="B194" s="5">
        <f t="shared" si="16"/>
        <v>18</v>
      </c>
      <c r="C194" s="6" t="str">
        <f t="shared" si="17"/>
        <v>18</v>
      </c>
      <c r="D194" s="4" t="str">
        <f t="shared" si="18"/>
        <v>Nov</v>
      </c>
      <c r="E194" t="str">
        <f t="shared" si="19"/>
        <v>25</v>
      </c>
      <c r="F194" t="str">
        <f t="shared" si="20"/>
        <v>NO</v>
      </c>
      <c r="G194" t="str">
        <f t="shared" si="21"/>
        <v>25NO18</v>
      </c>
    </row>
    <row r="195" spans="1:7">
      <c r="A195" s="1">
        <f>+'2025'!T14</f>
        <v>45980</v>
      </c>
      <c r="B195" s="5">
        <f t="shared" si="16"/>
        <v>19</v>
      </c>
      <c r="C195" s="6" t="str">
        <f t="shared" si="17"/>
        <v>19</v>
      </c>
      <c r="D195" s="4" t="str">
        <f t="shared" si="18"/>
        <v>Nov</v>
      </c>
      <c r="E195" t="str">
        <f t="shared" si="19"/>
        <v>25</v>
      </c>
      <c r="F195" t="str">
        <f t="shared" si="20"/>
        <v>NO</v>
      </c>
      <c r="G195" t="str">
        <f t="shared" si="21"/>
        <v>25NO19</v>
      </c>
    </row>
    <row r="196" spans="1:7">
      <c r="A196" s="1">
        <f>+'2025'!T15</f>
        <v>45981</v>
      </c>
      <c r="B196" s="5">
        <f t="shared" ref="B196:B259" si="22">DAY(A196)</f>
        <v>20</v>
      </c>
      <c r="C196" s="6" t="str">
        <f t="shared" ref="C196:C259" si="23">TEXT(B196,"00")</f>
        <v>20</v>
      </c>
      <c r="D196" s="4" t="str">
        <f t="shared" si="18"/>
        <v>Nov</v>
      </c>
      <c r="E196" t="str">
        <f t="shared" si="19"/>
        <v>25</v>
      </c>
      <c r="F196" t="str">
        <f t="shared" si="20"/>
        <v>NO</v>
      </c>
      <c r="G196" t="str">
        <f t="shared" si="21"/>
        <v>25NO20</v>
      </c>
    </row>
    <row r="197" spans="1:7">
      <c r="A197" s="1">
        <f>+'2025'!T16</f>
        <v>45982</v>
      </c>
      <c r="B197" s="5">
        <f t="shared" si="22"/>
        <v>21</v>
      </c>
      <c r="C197" s="6" t="str">
        <f t="shared" si="23"/>
        <v>21</v>
      </c>
      <c r="D197" s="4" t="str">
        <f t="shared" si="18"/>
        <v>Nov</v>
      </c>
      <c r="E197" t="str">
        <f t="shared" si="19"/>
        <v>25</v>
      </c>
      <c r="F197" t="str">
        <f t="shared" si="20"/>
        <v>NO</v>
      </c>
      <c r="G197" t="str">
        <f t="shared" si="21"/>
        <v>25NO21</v>
      </c>
    </row>
    <row r="198" spans="1:7">
      <c r="A198" s="1">
        <f>+'2025'!T17</f>
        <v>45983</v>
      </c>
      <c r="B198" s="5">
        <f t="shared" si="22"/>
        <v>22</v>
      </c>
      <c r="C198" s="6" t="str">
        <f t="shared" si="23"/>
        <v>22</v>
      </c>
      <c r="D198" s="4" t="str">
        <f t="shared" si="18"/>
        <v>Nov</v>
      </c>
      <c r="E198" t="str">
        <f t="shared" si="19"/>
        <v>25</v>
      </c>
      <c r="F198" t="str">
        <f t="shared" si="20"/>
        <v>NO</v>
      </c>
      <c r="G198" t="str">
        <f t="shared" si="21"/>
        <v>25NO22</v>
      </c>
    </row>
    <row r="199" spans="1:7">
      <c r="A199" s="1">
        <f>+'2025'!T18</f>
        <v>45984</v>
      </c>
      <c r="B199" s="5">
        <f t="shared" si="22"/>
        <v>23</v>
      </c>
      <c r="C199" s="6" t="str">
        <f t="shared" si="23"/>
        <v>23</v>
      </c>
      <c r="D199" s="4" t="str">
        <f t="shared" si="18"/>
        <v>Nov</v>
      </c>
      <c r="E199" t="str">
        <f t="shared" si="19"/>
        <v>25</v>
      </c>
      <c r="F199" t="str">
        <f t="shared" si="20"/>
        <v>NO</v>
      </c>
      <c r="G199" t="str">
        <f t="shared" si="21"/>
        <v>25NO23</v>
      </c>
    </row>
    <row r="200" spans="1:7">
      <c r="A200" s="1">
        <f>+'2025'!T19</f>
        <v>45985</v>
      </c>
      <c r="B200" s="5">
        <f t="shared" si="22"/>
        <v>24</v>
      </c>
      <c r="C200" s="6" t="str">
        <f t="shared" si="23"/>
        <v>24</v>
      </c>
      <c r="D200" s="4" t="str">
        <f t="shared" si="18"/>
        <v>Nov</v>
      </c>
      <c r="E200" t="str">
        <f t="shared" si="19"/>
        <v>25</v>
      </c>
      <c r="F200" t="str">
        <f t="shared" si="20"/>
        <v>NO</v>
      </c>
      <c r="G200" t="str">
        <f t="shared" si="21"/>
        <v>25NO24</v>
      </c>
    </row>
    <row r="201" spans="1:7">
      <c r="A201" s="1">
        <f>+'2025'!T20</f>
        <v>45986</v>
      </c>
      <c r="B201" s="5">
        <f t="shared" si="22"/>
        <v>25</v>
      </c>
      <c r="C201" s="6" t="str">
        <f t="shared" si="23"/>
        <v>25</v>
      </c>
      <c r="D201" s="4" t="str">
        <f t="shared" si="18"/>
        <v>Nov</v>
      </c>
      <c r="E201" t="str">
        <f t="shared" si="19"/>
        <v>25</v>
      </c>
      <c r="F201" t="str">
        <f t="shared" si="20"/>
        <v>NO</v>
      </c>
      <c r="G201" t="str">
        <f t="shared" si="21"/>
        <v>25NO25</v>
      </c>
    </row>
    <row r="202" spans="1:7">
      <c r="A202" s="1">
        <f>+'2025'!T21</f>
        <v>45987</v>
      </c>
      <c r="B202" s="5">
        <f t="shared" si="22"/>
        <v>26</v>
      </c>
      <c r="C202" s="6" t="str">
        <f t="shared" si="23"/>
        <v>26</v>
      </c>
      <c r="D202" s="4" t="str">
        <f t="shared" si="18"/>
        <v>Nov</v>
      </c>
      <c r="E202" t="str">
        <f t="shared" si="19"/>
        <v>25</v>
      </c>
      <c r="F202" t="str">
        <f t="shared" si="20"/>
        <v>NO</v>
      </c>
      <c r="G202" t="str">
        <f t="shared" si="21"/>
        <v>25NO26</v>
      </c>
    </row>
    <row r="203" spans="1:7">
      <c r="A203" s="1">
        <f>+'2025'!T22</f>
        <v>45988</v>
      </c>
      <c r="B203" s="5">
        <f t="shared" si="22"/>
        <v>27</v>
      </c>
      <c r="C203" s="6" t="str">
        <f t="shared" si="23"/>
        <v>27</v>
      </c>
      <c r="D203" s="4" t="str">
        <f t="shared" si="18"/>
        <v>Nov</v>
      </c>
      <c r="E203" t="str">
        <f t="shared" si="19"/>
        <v>25</v>
      </c>
      <c r="F203" t="str">
        <f t="shared" si="20"/>
        <v>NO</v>
      </c>
      <c r="G203" t="str">
        <f t="shared" si="21"/>
        <v>25NO27</v>
      </c>
    </row>
    <row r="204" spans="1:7">
      <c r="A204" s="1">
        <f>+'2025'!T23</f>
        <v>45989</v>
      </c>
      <c r="B204" s="5">
        <f t="shared" si="22"/>
        <v>28</v>
      </c>
      <c r="C204" s="6" t="str">
        <f t="shared" si="23"/>
        <v>28</v>
      </c>
      <c r="D204" s="4" t="str">
        <f t="shared" si="18"/>
        <v>Nov</v>
      </c>
      <c r="E204" t="str">
        <f t="shared" si="19"/>
        <v>25</v>
      </c>
      <c r="F204" t="str">
        <f t="shared" si="20"/>
        <v>NO</v>
      </c>
      <c r="G204" t="str">
        <f t="shared" si="21"/>
        <v>25NO28</v>
      </c>
    </row>
    <row r="205" spans="1:7">
      <c r="A205" s="1">
        <f>+'2025'!T24</f>
        <v>45990</v>
      </c>
      <c r="B205" s="5">
        <f t="shared" si="22"/>
        <v>29</v>
      </c>
      <c r="C205" s="6" t="str">
        <f t="shared" si="23"/>
        <v>29</v>
      </c>
      <c r="D205" s="4" t="str">
        <f t="shared" si="18"/>
        <v>Nov</v>
      </c>
      <c r="E205" t="str">
        <f t="shared" si="19"/>
        <v>25</v>
      </c>
      <c r="F205" t="str">
        <f t="shared" si="20"/>
        <v>NO</v>
      </c>
      <c r="G205" t="str">
        <f t="shared" si="21"/>
        <v>25NO29</v>
      </c>
    </row>
    <row r="206" spans="1:7">
      <c r="A206" s="1">
        <f>+'2025'!T25</f>
        <v>45991</v>
      </c>
      <c r="B206" s="5">
        <f t="shared" si="22"/>
        <v>30</v>
      </c>
      <c r="C206" s="6" t="str">
        <f t="shared" si="23"/>
        <v>30</v>
      </c>
      <c r="D206" s="4" t="str">
        <f t="shared" si="18"/>
        <v>Nov</v>
      </c>
      <c r="E206" t="str">
        <f t="shared" si="19"/>
        <v>25</v>
      </c>
      <c r="F206" t="str">
        <f t="shared" si="20"/>
        <v>NO</v>
      </c>
      <c r="G206" t="str">
        <f t="shared" si="21"/>
        <v>25NO30</v>
      </c>
    </row>
    <row r="207" spans="1:7">
      <c r="A207" s="1">
        <f>+'2025'!T26</f>
        <v>45992</v>
      </c>
      <c r="B207" s="5">
        <f t="shared" si="22"/>
        <v>1</v>
      </c>
      <c r="C207" s="6" t="str">
        <f t="shared" si="23"/>
        <v>01</v>
      </c>
      <c r="D207" s="4" t="str">
        <f t="shared" si="18"/>
        <v>Dec</v>
      </c>
      <c r="E207" t="str">
        <f t="shared" si="19"/>
        <v>25</v>
      </c>
      <c r="F207" t="str">
        <f t="shared" si="20"/>
        <v>DE</v>
      </c>
      <c r="G207" t="str">
        <f t="shared" si="21"/>
        <v>25DE01</v>
      </c>
    </row>
    <row r="208" spans="1:7">
      <c r="A208" s="1">
        <f>+'2025'!T27</f>
        <v>45993</v>
      </c>
      <c r="B208" s="5">
        <f t="shared" si="22"/>
        <v>2</v>
      </c>
      <c r="C208" s="6" t="str">
        <f t="shared" si="23"/>
        <v>02</v>
      </c>
      <c r="D208" s="4" t="str">
        <f t="shared" si="18"/>
        <v>Dec</v>
      </c>
      <c r="E208" t="str">
        <f t="shared" si="19"/>
        <v>25</v>
      </c>
      <c r="F208" t="str">
        <f t="shared" si="20"/>
        <v>DE</v>
      </c>
      <c r="G208" t="str">
        <f t="shared" si="21"/>
        <v>25DE02</v>
      </c>
    </row>
    <row r="209" spans="1:7">
      <c r="A209" s="1">
        <f>+'2025'!T28</f>
        <v>45994</v>
      </c>
      <c r="B209" s="5">
        <f t="shared" si="22"/>
        <v>3</v>
      </c>
      <c r="C209" s="6" t="str">
        <f t="shared" si="23"/>
        <v>03</v>
      </c>
      <c r="D209" s="4" t="str">
        <f t="shared" si="18"/>
        <v>Dec</v>
      </c>
      <c r="E209" t="str">
        <f t="shared" si="19"/>
        <v>25</v>
      </c>
      <c r="F209" t="str">
        <f t="shared" si="20"/>
        <v>DE</v>
      </c>
      <c r="G209" t="str">
        <f t="shared" si="21"/>
        <v>25DE03</v>
      </c>
    </row>
    <row r="210" spans="1:7">
      <c r="A210" s="1">
        <f>+'2025'!T29</f>
        <v>45995</v>
      </c>
      <c r="B210" s="5">
        <f t="shared" si="22"/>
        <v>4</v>
      </c>
      <c r="C210" s="6" t="str">
        <f t="shared" si="23"/>
        <v>04</v>
      </c>
      <c r="D210" s="4" t="str">
        <f t="shared" si="18"/>
        <v>Dec</v>
      </c>
      <c r="E210" t="str">
        <f t="shared" si="19"/>
        <v>25</v>
      </c>
      <c r="F210" t="str">
        <f t="shared" si="20"/>
        <v>DE</v>
      </c>
      <c r="G210" t="str">
        <f t="shared" si="21"/>
        <v>25DE04</v>
      </c>
    </row>
    <row r="211" spans="1:7">
      <c r="A211" s="1">
        <f>+'2025'!T30</f>
        <v>45996</v>
      </c>
      <c r="B211" s="5">
        <f t="shared" si="22"/>
        <v>5</v>
      </c>
      <c r="C211" s="6" t="str">
        <f t="shared" si="23"/>
        <v>05</v>
      </c>
      <c r="D211" s="4" t="str">
        <f t="shared" ref="D211:D274" si="24">+TEXT(A211,"mmm")</f>
        <v>Dec</v>
      </c>
      <c r="E211" t="str">
        <f t="shared" ref="E211:E274" si="25">+TEXT(A211,"yy")</f>
        <v>25</v>
      </c>
      <c r="F211" t="str">
        <f t="shared" ref="F211:F274" si="26">VLOOKUP(D211,$I$3:$J$14,2,FALSE)</f>
        <v>DE</v>
      </c>
      <c r="G211" t="str">
        <f t="shared" ref="G211:G274" si="27">+E211&amp;F211&amp;C211</f>
        <v>25DE05</v>
      </c>
    </row>
    <row r="212" spans="1:7">
      <c r="A212" s="1">
        <f>+'2025'!T31</f>
        <v>45997</v>
      </c>
      <c r="B212" s="5">
        <f t="shared" si="22"/>
        <v>6</v>
      </c>
      <c r="C212" s="6" t="str">
        <f t="shared" si="23"/>
        <v>06</v>
      </c>
      <c r="D212" s="4" t="str">
        <f t="shared" si="24"/>
        <v>Dec</v>
      </c>
      <c r="E212" t="str">
        <f t="shared" si="25"/>
        <v>25</v>
      </c>
      <c r="F212" t="str">
        <f t="shared" si="26"/>
        <v>DE</v>
      </c>
      <c r="G212" t="str">
        <f t="shared" si="27"/>
        <v>25DE06</v>
      </c>
    </row>
    <row r="213" spans="1:7">
      <c r="A213" s="1">
        <f>+'2025'!T32</f>
        <v>45998</v>
      </c>
      <c r="B213" s="5">
        <f t="shared" si="22"/>
        <v>7</v>
      </c>
      <c r="C213" s="6" t="str">
        <f t="shared" si="23"/>
        <v>07</v>
      </c>
      <c r="D213" s="4" t="str">
        <f t="shared" si="24"/>
        <v>Dec</v>
      </c>
      <c r="E213" t="str">
        <f t="shared" si="25"/>
        <v>25</v>
      </c>
      <c r="F213" t="str">
        <f t="shared" si="26"/>
        <v>DE</v>
      </c>
      <c r="G213" t="str">
        <f t="shared" si="27"/>
        <v>25DE07</v>
      </c>
    </row>
    <row r="214" spans="1:7">
      <c r="A214" s="1">
        <f>+'2025'!T33</f>
        <v>45999</v>
      </c>
      <c r="B214" s="5">
        <f t="shared" si="22"/>
        <v>8</v>
      </c>
      <c r="C214" s="6" t="str">
        <f t="shared" si="23"/>
        <v>08</v>
      </c>
      <c r="D214" s="4" t="str">
        <f t="shared" si="24"/>
        <v>Dec</v>
      </c>
      <c r="E214" t="str">
        <f t="shared" si="25"/>
        <v>25</v>
      </c>
      <c r="F214" t="str">
        <f t="shared" si="26"/>
        <v>DE</v>
      </c>
      <c r="G214" t="str">
        <f t="shared" si="27"/>
        <v>25DE08</v>
      </c>
    </row>
    <row r="215" spans="1:7">
      <c r="A215" s="1">
        <f>+'2025'!W3</f>
        <v>46000</v>
      </c>
      <c r="B215" s="5">
        <f t="shared" si="22"/>
        <v>9</v>
      </c>
      <c r="C215" s="6" t="str">
        <f t="shared" si="23"/>
        <v>09</v>
      </c>
      <c r="D215" s="4" t="str">
        <f t="shared" si="24"/>
        <v>Dec</v>
      </c>
      <c r="E215" t="str">
        <f t="shared" si="25"/>
        <v>25</v>
      </c>
      <c r="F215" t="str">
        <f t="shared" si="26"/>
        <v>DE</v>
      </c>
      <c r="G215" t="str">
        <f t="shared" si="27"/>
        <v>25DE09</v>
      </c>
    </row>
    <row r="216" spans="1:7">
      <c r="A216" s="1">
        <f>+'2025'!W4</f>
        <v>46001</v>
      </c>
      <c r="B216" s="5">
        <f t="shared" si="22"/>
        <v>10</v>
      </c>
      <c r="C216" s="6" t="str">
        <f t="shared" si="23"/>
        <v>10</v>
      </c>
      <c r="D216" s="4" t="str">
        <f t="shared" si="24"/>
        <v>Dec</v>
      </c>
      <c r="E216" t="str">
        <f t="shared" si="25"/>
        <v>25</v>
      </c>
      <c r="F216" t="str">
        <f t="shared" si="26"/>
        <v>DE</v>
      </c>
      <c r="G216" t="str">
        <f t="shared" si="27"/>
        <v>25DE10</v>
      </c>
    </row>
    <row r="217" spans="1:7">
      <c r="A217" s="1">
        <f>+'2025'!W5</f>
        <v>46002</v>
      </c>
      <c r="B217" s="5">
        <f t="shared" si="22"/>
        <v>11</v>
      </c>
      <c r="C217" s="6" t="str">
        <f t="shared" si="23"/>
        <v>11</v>
      </c>
      <c r="D217" s="4" t="str">
        <f t="shared" si="24"/>
        <v>Dec</v>
      </c>
      <c r="E217" t="str">
        <f t="shared" si="25"/>
        <v>25</v>
      </c>
      <c r="F217" t="str">
        <f t="shared" si="26"/>
        <v>DE</v>
      </c>
      <c r="G217" t="str">
        <f t="shared" si="27"/>
        <v>25DE11</v>
      </c>
    </row>
    <row r="218" spans="1:7">
      <c r="A218" s="1">
        <f>+'2025'!W6</f>
        <v>46003</v>
      </c>
      <c r="B218" s="5">
        <f t="shared" si="22"/>
        <v>12</v>
      </c>
      <c r="C218" s="6" t="str">
        <f t="shared" si="23"/>
        <v>12</v>
      </c>
      <c r="D218" s="4" t="str">
        <f t="shared" si="24"/>
        <v>Dec</v>
      </c>
      <c r="E218" t="str">
        <f t="shared" si="25"/>
        <v>25</v>
      </c>
      <c r="F218" t="str">
        <f t="shared" si="26"/>
        <v>DE</v>
      </c>
      <c r="G218" t="str">
        <f t="shared" si="27"/>
        <v>25DE12</v>
      </c>
    </row>
    <row r="219" spans="1:7">
      <c r="A219" s="1">
        <f>+'2025'!W7</f>
        <v>46004</v>
      </c>
      <c r="B219" s="5">
        <f t="shared" si="22"/>
        <v>13</v>
      </c>
      <c r="C219" s="6" t="str">
        <f t="shared" si="23"/>
        <v>13</v>
      </c>
      <c r="D219" s="4" t="str">
        <f t="shared" si="24"/>
        <v>Dec</v>
      </c>
      <c r="E219" t="str">
        <f t="shared" si="25"/>
        <v>25</v>
      </c>
      <c r="F219" t="str">
        <f t="shared" si="26"/>
        <v>DE</v>
      </c>
      <c r="G219" t="str">
        <f t="shared" si="27"/>
        <v>25DE13</v>
      </c>
    </row>
    <row r="220" spans="1:7">
      <c r="A220" s="1">
        <f>+'2025'!W8</f>
        <v>46005</v>
      </c>
      <c r="B220" s="5">
        <f t="shared" si="22"/>
        <v>14</v>
      </c>
      <c r="C220" s="6" t="str">
        <f t="shared" si="23"/>
        <v>14</v>
      </c>
      <c r="D220" s="4" t="str">
        <f t="shared" si="24"/>
        <v>Dec</v>
      </c>
      <c r="E220" t="str">
        <f t="shared" si="25"/>
        <v>25</v>
      </c>
      <c r="F220" t="str">
        <f t="shared" si="26"/>
        <v>DE</v>
      </c>
      <c r="G220" t="str">
        <f t="shared" si="27"/>
        <v>25DE14</v>
      </c>
    </row>
    <row r="221" spans="1:7">
      <c r="A221" s="1">
        <f>+'2025'!W9</f>
        <v>46006</v>
      </c>
      <c r="B221" s="5">
        <f t="shared" si="22"/>
        <v>15</v>
      </c>
      <c r="C221" s="6" t="str">
        <f t="shared" si="23"/>
        <v>15</v>
      </c>
      <c r="D221" s="4" t="str">
        <f t="shared" si="24"/>
        <v>Dec</v>
      </c>
      <c r="E221" t="str">
        <f t="shared" si="25"/>
        <v>25</v>
      </c>
      <c r="F221" t="str">
        <f t="shared" si="26"/>
        <v>DE</v>
      </c>
      <c r="G221" t="str">
        <f t="shared" si="27"/>
        <v>25DE15</v>
      </c>
    </row>
    <row r="222" spans="1:7">
      <c r="A222" s="1">
        <f>+'2025'!W10</f>
        <v>46007</v>
      </c>
      <c r="B222" s="5">
        <f t="shared" si="22"/>
        <v>16</v>
      </c>
      <c r="C222" s="6" t="str">
        <f t="shared" si="23"/>
        <v>16</v>
      </c>
      <c r="D222" s="4" t="str">
        <f t="shared" si="24"/>
        <v>Dec</v>
      </c>
      <c r="E222" t="str">
        <f t="shared" si="25"/>
        <v>25</v>
      </c>
      <c r="F222" t="str">
        <f t="shared" si="26"/>
        <v>DE</v>
      </c>
      <c r="G222" t="str">
        <f t="shared" si="27"/>
        <v>25DE16</v>
      </c>
    </row>
    <row r="223" spans="1:7">
      <c r="A223" s="1">
        <f>+'2025'!W11</f>
        <v>46008</v>
      </c>
      <c r="B223" s="5">
        <f t="shared" si="22"/>
        <v>17</v>
      </c>
      <c r="C223" s="6" t="str">
        <f t="shared" si="23"/>
        <v>17</v>
      </c>
      <c r="D223" s="4" t="str">
        <f t="shared" si="24"/>
        <v>Dec</v>
      </c>
      <c r="E223" t="str">
        <f t="shared" si="25"/>
        <v>25</v>
      </c>
      <c r="F223" t="str">
        <f t="shared" si="26"/>
        <v>DE</v>
      </c>
      <c r="G223" t="str">
        <f t="shared" si="27"/>
        <v>25DE17</v>
      </c>
    </row>
    <row r="224" spans="1:7">
      <c r="A224" s="1">
        <f>+'2025'!W12</f>
        <v>46009</v>
      </c>
      <c r="B224" s="5">
        <f t="shared" si="22"/>
        <v>18</v>
      </c>
      <c r="C224" s="6" t="str">
        <f t="shared" si="23"/>
        <v>18</v>
      </c>
      <c r="D224" s="4" t="str">
        <f t="shared" si="24"/>
        <v>Dec</v>
      </c>
      <c r="E224" t="str">
        <f t="shared" si="25"/>
        <v>25</v>
      </c>
      <c r="F224" t="str">
        <f t="shared" si="26"/>
        <v>DE</v>
      </c>
      <c r="G224" t="str">
        <f t="shared" si="27"/>
        <v>25DE18</v>
      </c>
    </row>
    <row r="225" spans="1:7">
      <c r="A225" s="1">
        <f>+'2025'!W13</f>
        <v>46010</v>
      </c>
      <c r="B225" s="5">
        <f t="shared" si="22"/>
        <v>19</v>
      </c>
      <c r="C225" s="6" t="str">
        <f t="shared" si="23"/>
        <v>19</v>
      </c>
      <c r="D225" s="4" t="str">
        <f t="shared" si="24"/>
        <v>Dec</v>
      </c>
      <c r="E225" t="str">
        <f t="shared" si="25"/>
        <v>25</v>
      </c>
      <c r="F225" t="str">
        <f t="shared" si="26"/>
        <v>DE</v>
      </c>
      <c r="G225" t="str">
        <f t="shared" si="27"/>
        <v>25DE19</v>
      </c>
    </row>
    <row r="226" spans="1:7">
      <c r="A226" s="1">
        <f>+'2025'!W14</f>
        <v>46011</v>
      </c>
      <c r="B226" s="5">
        <f t="shared" si="22"/>
        <v>20</v>
      </c>
      <c r="C226" s="6" t="str">
        <f t="shared" si="23"/>
        <v>20</v>
      </c>
      <c r="D226" s="4" t="str">
        <f t="shared" si="24"/>
        <v>Dec</v>
      </c>
      <c r="E226" t="str">
        <f t="shared" si="25"/>
        <v>25</v>
      </c>
      <c r="F226" t="str">
        <f t="shared" si="26"/>
        <v>DE</v>
      </c>
      <c r="G226" t="str">
        <f t="shared" si="27"/>
        <v>25DE20</v>
      </c>
    </row>
    <row r="227" spans="1:7">
      <c r="A227" s="1">
        <f>+'2025'!W15</f>
        <v>46012</v>
      </c>
      <c r="B227" s="5">
        <f t="shared" si="22"/>
        <v>21</v>
      </c>
      <c r="C227" s="6" t="str">
        <f t="shared" si="23"/>
        <v>21</v>
      </c>
      <c r="D227" s="4" t="str">
        <f t="shared" si="24"/>
        <v>Dec</v>
      </c>
      <c r="E227" t="str">
        <f t="shared" si="25"/>
        <v>25</v>
      </c>
      <c r="F227" t="str">
        <f t="shared" si="26"/>
        <v>DE</v>
      </c>
      <c r="G227" t="str">
        <f t="shared" si="27"/>
        <v>25DE21</v>
      </c>
    </row>
    <row r="228" spans="1:7">
      <c r="A228" s="1">
        <f>+'2025'!W16</f>
        <v>46013</v>
      </c>
      <c r="B228" s="5">
        <f t="shared" si="22"/>
        <v>22</v>
      </c>
      <c r="C228" s="6" t="str">
        <f t="shared" si="23"/>
        <v>22</v>
      </c>
      <c r="D228" s="4" t="str">
        <f t="shared" si="24"/>
        <v>Dec</v>
      </c>
      <c r="E228" t="str">
        <f t="shared" si="25"/>
        <v>25</v>
      </c>
      <c r="F228" t="str">
        <f t="shared" si="26"/>
        <v>DE</v>
      </c>
      <c r="G228" t="str">
        <f t="shared" si="27"/>
        <v>25DE22</v>
      </c>
    </row>
    <row r="229" spans="1:7">
      <c r="A229" s="1">
        <f>+'2025'!W17</f>
        <v>46014</v>
      </c>
      <c r="B229" s="5">
        <f t="shared" si="22"/>
        <v>23</v>
      </c>
      <c r="C229" s="6" t="str">
        <f t="shared" si="23"/>
        <v>23</v>
      </c>
      <c r="D229" s="4" t="str">
        <f t="shared" si="24"/>
        <v>Dec</v>
      </c>
      <c r="E229" t="str">
        <f t="shared" si="25"/>
        <v>25</v>
      </c>
      <c r="F229" t="str">
        <f t="shared" si="26"/>
        <v>DE</v>
      </c>
      <c r="G229" t="str">
        <f t="shared" si="27"/>
        <v>25DE23</v>
      </c>
    </row>
    <row r="230" spans="1:7">
      <c r="A230" s="1">
        <f>+'2025'!W18</f>
        <v>46015</v>
      </c>
      <c r="B230" s="5">
        <f t="shared" si="22"/>
        <v>24</v>
      </c>
      <c r="C230" s="6" t="str">
        <f t="shared" si="23"/>
        <v>24</v>
      </c>
      <c r="D230" s="4" t="str">
        <f t="shared" si="24"/>
        <v>Dec</v>
      </c>
      <c r="E230" t="str">
        <f t="shared" si="25"/>
        <v>25</v>
      </c>
      <c r="F230" t="str">
        <f t="shared" si="26"/>
        <v>DE</v>
      </c>
      <c r="G230" t="str">
        <f t="shared" si="27"/>
        <v>25DE24</v>
      </c>
    </row>
    <row r="231" spans="1:7">
      <c r="A231" s="1">
        <f>+'2025'!W19</f>
        <v>46016</v>
      </c>
      <c r="B231" s="5">
        <f t="shared" si="22"/>
        <v>25</v>
      </c>
      <c r="C231" s="6" t="str">
        <f t="shared" si="23"/>
        <v>25</v>
      </c>
      <c r="D231" s="4" t="str">
        <f t="shared" si="24"/>
        <v>Dec</v>
      </c>
      <c r="E231" t="str">
        <f t="shared" si="25"/>
        <v>25</v>
      </c>
      <c r="F231" t="str">
        <f t="shared" si="26"/>
        <v>DE</v>
      </c>
      <c r="G231" t="str">
        <f t="shared" si="27"/>
        <v>25DE25</v>
      </c>
    </row>
    <row r="232" spans="1:7">
      <c r="A232" s="1">
        <f>+'2025'!W20</f>
        <v>46017</v>
      </c>
      <c r="B232" s="5">
        <f t="shared" si="22"/>
        <v>26</v>
      </c>
      <c r="C232" s="6" t="str">
        <f t="shared" si="23"/>
        <v>26</v>
      </c>
      <c r="D232" s="4" t="str">
        <f t="shared" si="24"/>
        <v>Dec</v>
      </c>
      <c r="E232" t="str">
        <f t="shared" si="25"/>
        <v>25</v>
      </c>
      <c r="F232" t="str">
        <f t="shared" si="26"/>
        <v>DE</v>
      </c>
      <c r="G232" t="str">
        <f t="shared" si="27"/>
        <v>25DE26</v>
      </c>
    </row>
    <row r="233" spans="1:7">
      <c r="A233" s="1">
        <f>+'2025'!W21</f>
        <v>46018</v>
      </c>
      <c r="B233" s="5">
        <f t="shared" si="22"/>
        <v>27</v>
      </c>
      <c r="C233" s="6" t="str">
        <f t="shared" si="23"/>
        <v>27</v>
      </c>
      <c r="D233" s="4" t="str">
        <f t="shared" si="24"/>
        <v>Dec</v>
      </c>
      <c r="E233" t="str">
        <f t="shared" si="25"/>
        <v>25</v>
      </c>
      <c r="F233" t="str">
        <f t="shared" si="26"/>
        <v>DE</v>
      </c>
      <c r="G233" t="str">
        <f t="shared" si="27"/>
        <v>25DE27</v>
      </c>
    </row>
    <row r="234" spans="1:7">
      <c r="A234" s="1">
        <f>+'2025'!W22</f>
        <v>46019</v>
      </c>
      <c r="B234" s="5">
        <f t="shared" si="22"/>
        <v>28</v>
      </c>
      <c r="C234" s="6" t="str">
        <f t="shared" si="23"/>
        <v>28</v>
      </c>
      <c r="D234" s="4" t="str">
        <f t="shared" si="24"/>
        <v>Dec</v>
      </c>
      <c r="E234" t="str">
        <f t="shared" si="25"/>
        <v>25</v>
      </c>
      <c r="F234" t="str">
        <f t="shared" si="26"/>
        <v>DE</v>
      </c>
      <c r="G234" t="str">
        <f t="shared" si="27"/>
        <v>25DE28</v>
      </c>
    </row>
    <row r="235" spans="1:7">
      <c r="A235" s="1">
        <f>+'2025'!W23</f>
        <v>46020</v>
      </c>
      <c r="B235" s="5">
        <f t="shared" si="22"/>
        <v>29</v>
      </c>
      <c r="C235" s="6" t="str">
        <f t="shared" si="23"/>
        <v>29</v>
      </c>
      <c r="D235" s="4" t="str">
        <f t="shared" si="24"/>
        <v>Dec</v>
      </c>
      <c r="E235" t="str">
        <f t="shared" si="25"/>
        <v>25</v>
      </c>
      <c r="F235" t="str">
        <f t="shared" si="26"/>
        <v>DE</v>
      </c>
      <c r="G235" t="str">
        <f t="shared" si="27"/>
        <v>25DE29</v>
      </c>
    </row>
    <row r="236" spans="1:7">
      <c r="A236" s="1">
        <f>+'2025'!W24</f>
        <v>46021</v>
      </c>
      <c r="B236" s="5">
        <f t="shared" si="22"/>
        <v>30</v>
      </c>
      <c r="C236" s="6" t="str">
        <f t="shared" si="23"/>
        <v>30</v>
      </c>
      <c r="D236" s="4" t="str">
        <f t="shared" si="24"/>
        <v>Dec</v>
      </c>
      <c r="E236" t="str">
        <f t="shared" si="25"/>
        <v>25</v>
      </c>
      <c r="F236" t="str">
        <f t="shared" si="26"/>
        <v>DE</v>
      </c>
      <c r="G236" t="str">
        <f t="shared" si="27"/>
        <v>25DE30</v>
      </c>
    </row>
    <row r="237" spans="1:7">
      <c r="A237" s="1">
        <f>+'2025'!W25</f>
        <v>46022</v>
      </c>
      <c r="B237" s="5">
        <f t="shared" si="22"/>
        <v>31</v>
      </c>
      <c r="C237" s="6" t="str">
        <f t="shared" si="23"/>
        <v>31</v>
      </c>
      <c r="D237" s="4" t="str">
        <f t="shared" si="24"/>
        <v>Dec</v>
      </c>
      <c r="E237" t="str">
        <f t="shared" si="25"/>
        <v>25</v>
      </c>
      <c r="F237" t="str">
        <f t="shared" si="26"/>
        <v>DE</v>
      </c>
      <c r="G237" t="str">
        <f t="shared" si="27"/>
        <v>25DE31</v>
      </c>
    </row>
    <row r="238" spans="1:7">
      <c r="A238" s="1">
        <f>+'2025'!W26</f>
        <v>46023</v>
      </c>
      <c r="B238" s="5">
        <f t="shared" si="22"/>
        <v>1</v>
      </c>
      <c r="C238" s="6" t="str">
        <f t="shared" si="23"/>
        <v>01</v>
      </c>
      <c r="D238" s="4" t="str">
        <f t="shared" si="24"/>
        <v>Jan</v>
      </c>
      <c r="E238" t="str">
        <f t="shared" si="25"/>
        <v>26</v>
      </c>
      <c r="F238" t="str">
        <f t="shared" si="26"/>
        <v>JA</v>
      </c>
      <c r="G238" t="str">
        <f t="shared" si="27"/>
        <v>26JA01</v>
      </c>
    </row>
    <row r="239" spans="1:7">
      <c r="A239" s="1">
        <f>+'2025'!W27</f>
        <v>46024</v>
      </c>
      <c r="B239" s="5">
        <f t="shared" si="22"/>
        <v>2</v>
      </c>
      <c r="C239" s="6" t="str">
        <f t="shared" si="23"/>
        <v>02</v>
      </c>
      <c r="D239" s="4" t="str">
        <f t="shared" si="24"/>
        <v>Jan</v>
      </c>
      <c r="E239" t="str">
        <f t="shared" si="25"/>
        <v>26</v>
      </c>
      <c r="F239" t="str">
        <f t="shared" si="26"/>
        <v>JA</v>
      </c>
      <c r="G239" t="str">
        <f t="shared" si="27"/>
        <v>26JA02</v>
      </c>
    </row>
    <row r="240" spans="1:7">
      <c r="A240" s="1">
        <f>+'2025'!W28</f>
        <v>46025</v>
      </c>
      <c r="B240" s="5">
        <f t="shared" si="22"/>
        <v>3</v>
      </c>
      <c r="C240" s="6" t="str">
        <f t="shared" si="23"/>
        <v>03</v>
      </c>
      <c r="D240" s="4" t="str">
        <f t="shared" si="24"/>
        <v>Jan</v>
      </c>
      <c r="E240" t="str">
        <f t="shared" si="25"/>
        <v>26</v>
      </c>
      <c r="F240" t="str">
        <f t="shared" si="26"/>
        <v>JA</v>
      </c>
      <c r="G240" t="str">
        <f t="shared" si="27"/>
        <v>26JA03</v>
      </c>
    </row>
    <row r="241" spans="1:7">
      <c r="A241" s="1">
        <f>+'2025'!W29</f>
        <v>46026</v>
      </c>
      <c r="B241" s="5">
        <f t="shared" si="22"/>
        <v>4</v>
      </c>
      <c r="C241" s="6" t="str">
        <f t="shared" si="23"/>
        <v>04</v>
      </c>
      <c r="D241" s="4" t="str">
        <f t="shared" si="24"/>
        <v>Jan</v>
      </c>
      <c r="E241" t="str">
        <f t="shared" si="25"/>
        <v>26</v>
      </c>
      <c r="F241" t="str">
        <f t="shared" si="26"/>
        <v>JA</v>
      </c>
      <c r="G241" t="str">
        <f t="shared" si="27"/>
        <v>26JA04</v>
      </c>
    </row>
    <row r="242" spans="1:7">
      <c r="A242" s="1">
        <f>+'2025'!W30</f>
        <v>46027</v>
      </c>
      <c r="B242" s="5">
        <f t="shared" si="22"/>
        <v>5</v>
      </c>
      <c r="C242" s="6" t="str">
        <f t="shared" si="23"/>
        <v>05</v>
      </c>
      <c r="D242" s="4" t="str">
        <f t="shared" si="24"/>
        <v>Jan</v>
      </c>
      <c r="E242" t="str">
        <f t="shared" si="25"/>
        <v>26</v>
      </c>
      <c r="F242" t="str">
        <f t="shared" si="26"/>
        <v>JA</v>
      </c>
      <c r="G242" t="str">
        <f t="shared" si="27"/>
        <v>26JA05</v>
      </c>
    </row>
    <row r="243" spans="1:7">
      <c r="A243" s="1">
        <f>+'2025'!W31</f>
        <v>46028</v>
      </c>
      <c r="B243" s="5">
        <f t="shared" si="22"/>
        <v>6</v>
      </c>
      <c r="C243" s="6" t="str">
        <f t="shared" si="23"/>
        <v>06</v>
      </c>
      <c r="D243" s="4" t="str">
        <f t="shared" si="24"/>
        <v>Jan</v>
      </c>
      <c r="E243" t="str">
        <f t="shared" si="25"/>
        <v>26</v>
      </c>
      <c r="F243" t="str">
        <f t="shared" si="26"/>
        <v>JA</v>
      </c>
      <c r="G243" t="str">
        <f t="shared" si="27"/>
        <v>26JA06</v>
      </c>
    </row>
    <row r="244" spans="1:7">
      <c r="A244" s="1">
        <f>+'2025'!W32</f>
        <v>46029</v>
      </c>
      <c r="B244" s="5">
        <f t="shared" si="22"/>
        <v>7</v>
      </c>
      <c r="C244" s="6" t="str">
        <f t="shared" si="23"/>
        <v>07</v>
      </c>
      <c r="D244" s="4" t="str">
        <f t="shared" si="24"/>
        <v>Jan</v>
      </c>
      <c r="E244" t="str">
        <f t="shared" si="25"/>
        <v>26</v>
      </c>
      <c r="F244" t="str">
        <f t="shared" si="26"/>
        <v>JA</v>
      </c>
      <c r="G244" t="str">
        <f t="shared" si="27"/>
        <v>26JA07</v>
      </c>
    </row>
    <row r="245" spans="1:7">
      <c r="A245" s="1">
        <f>+'2025'!W33</f>
        <v>46030</v>
      </c>
      <c r="B245" s="5">
        <f t="shared" si="22"/>
        <v>8</v>
      </c>
      <c r="C245" s="6" t="str">
        <f t="shared" si="23"/>
        <v>08</v>
      </c>
      <c r="D245" s="4" t="str">
        <f t="shared" si="24"/>
        <v>Jan</v>
      </c>
      <c r="E245" t="str">
        <f t="shared" si="25"/>
        <v>26</v>
      </c>
      <c r="F245" t="str">
        <f t="shared" si="26"/>
        <v>JA</v>
      </c>
      <c r="G245" t="str">
        <f t="shared" si="27"/>
        <v>26JA08</v>
      </c>
    </row>
    <row r="246" spans="1:7">
      <c r="A246" s="1">
        <f>+'2025'!Z3</f>
        <v>46031</v>
      </c>
      <c r="B246" s="5">
        <f t="shared" si="22"/>
        <v>9</v>
      </c>
      <c r="C246" s="6" t="str">
        <f t="shared" si="23"/>
        <v>09</v>
      </c>
      <c r="D246" s="4" t="str">
        <f t="shared" si="24"/>
        <v>Jan</v>
      </c>
      <c r="E246" t="str">
        <f t="shared" si="25"/>
        <v>26</v>
      </c>
      <c r="F246" t="str">
        <f t="shared" si="26"/>
        <v>JA</v>
      </c>
      <c r="G246" t="str">
        <f t="shared" si="27"/>
        <v>26JA09</v>
      </c>
    </row>
    <row r="247" spans="1:7">
      <c r="A247" s="1">
        <f>+'2025'!Z4</f>
        <v>46032</v>
      </c>
      <c r="B247" s="5">
        <f t="shared" si="22"/>
        <v>10</v>
      </c>
      <c r="C247" s="6" t="str">
        <f t="shared" si="23"/>
        <v>10</v>
      </c>
      <c r="D247" s="4" t="str">
        <f t="shared" si="24"/>
        <v>Jan</v>
      </c>
      <c r="E247" t="str">
        <f t="shared" si="25"/>
        <v>26</v>
      </c>
      <c r="F247" t="str">
        <f t="shared" si="26"/>
        <v>JA</v>
      </c>
      <c r="G247" t="str">
        <f t="shared" si="27"/>
        <v>26JA10</v>
      </c>
    </row>
    <row r="248" spans="1:7">
      <c r="A248" s="1">
        <f>+'2025'!Z5</f>
        <v>46033</v>
      </c>
      <c r="B248" s="5">
        <f t="shared" si="22"/>
        <v>11</v>
      </c>
      <c r="C248" s="6" t="str">
        <f t="shared" si="23"/>
        <v>11</v>
      </c>
      <c r="D248" s="4" t="str">
        <f t="shared" si="24"/>
        <v>Jan</v>
      </c>
      <c r="E248" t="str">
        <f t="shared" si="25"/>
        <v>26</v>
      </c>
      <c r="F248" t="str">
        <f t="shared" si="26"/>
        <v>JA</v>
      </c>
      <c r="G248" t="str">
        <f t="shared" si="27"/>
        <v>26JA11</v>
      </c>
    </row>
    <row r="249" spans="1:7">
      <c r="A249" s="1">
        <f>+'2025'!Z6</f>
        <v>46034</v>
      </c>
      <c r="B249" s="5">
        <f t="shared" si="22"/>
        <v>12</v>
      </c>
      <c r="C249" s="6" t="str">
        <f t="shared" si="23"/>
        <v>12</v>
      </c>
      <c r="D249" s="4" t="str">
        <f t="shared" si="24"/>
        <v>Jan</v>
      </c>
      <c r="E249" t="str">
        <f t="shared" si="25"/>
        <v>26</v>
      </c>
      <c r="F249" t="str">
        <f t="shared" si="26"/>
        <v>JA</v>
      </c>
      <c r="G249" t="str">
        <f t="shared" si="27"/>
        <v>26JA12</v>
      </c>
    </row>
    <row r="250" spans="1:7">
      <c r="A250" s="1">
        <f>+'2025'!Z7</f>
        <v>46035</v>
      </c>
      <c r="B250" s="5">
        <f t="shared" si="22"/>
        <v>13</v>
      </c>
      <c r="C250" s="6" t="str">
        <f t="shared" si="23"/>
        <v>13</v>
      </c>
      <c r="D250" s="4" t="str">
        <f t="shared" si="24"/>
        <v>Jan</v>
      </c>
      <c r="E250" t="str">
        <f t="shared" si="25"/>
        <v>26</v>
      </c>
      <c r="F250" t="str">
        <f t="shared" si="26"/>
        <v>JA</v>
      </c>
      <c r="G250" t="str">
        <f t="shared" si="27"/>
        <v>26JA13</v>
      </c>
    </row>
    <row r="251" spans="1:7">
      <c r="A251" s="1">
        <f>+'2025'!Z8</f>
        <v>46036</v>
      </c>
      <c r="B251" s="5">
        <f t="shared" si="22"/>
        <v>14</v>
      </c>
      <c r="C251" s="6" t="str">
        <f t="shared" si="23"/>
        <v>14</v>
      </c>
      <c r="D251" s="4" t="str">
        <f t="shared" si="24"/>
        <v>Jan</v>
      </c>
      <c r="E251" t="str">
        <f t="shared" si="25"/>
        <v>26</v>
      </c>
      <c r="F251" t="str">
        <f t="shared" si="26"/>
        <v>JA</v>
      </c>
      <c r="G251" t="str">
        <f t="shared" si="27"/>
        <v>26JA14</v>
      </c>
    </row>
    <row r="252" spans="1:7">
      <c r="A252" s="1">
        <f>+'2025'!Z9</f>
        <v>46037</v>
      </c>
      <c r="B252" s="5">
        <f t="shared" si="22"/>
        <v>15</v>
      </c>
      <c r="C252" s="6" t="str">
        <f t="shared" si="23"/>
        <v>15</v>
      </c>
      <c r="D252" s="4" t="str">
        <f t="shared" si="24"/>
        <v>Jan</v>
      </c>
      <c r="E252" t="str">
        <f t="shared" si="25"/>
        <v>26</v>
      </c>
      <c r="F252" t="str">
        <f t="shared" si="26"/>
        <v>JA</v>
      </c>
      <c r="G252" t="str">
        <f t="shared" si="27"/>
        <v>26JA15</v>
      </c>
    </row>
    <row r="253" spans="1:7">
      <c r="A253" s="1">
        <f>+'2025'!Z10</f>
        <v>46038</v>
      </c>
      <c r="B253" s="5">
        <f t="shared" si="22"/>
        <v>16</v>
      </c>
      <c r="C253" s="6" t="str">
        <f t="shared" si="23"/>
        <v>16</v>
      </c>
      <c r="D253" s="4" t="str">
        <f t="shared" si="24"/>
        <v>Jan</v>
      </c>
      <c r="E253" t="str">
        <f t="shared" si="25"/>
        <v>26</v>
      </c>
      <c r="F253" t="str">
        <f t="shared" si="26"/>
        <v>JA</v>
      </c>
      <c r="G253" t="str">
        <f t="shared" si="27"/>
        <v>26JA16</v>
      </c>
    </row>
    <row r="254" spans="1:7">
      <c r="A254" s="1">
        <f>+'2025'!Z11</f>
        <v>46039</v>
      </c>
      <c r="B254" s="5">
        <f t="shared" si="22"/>
        <v>17</v>
      </c>
      <c r="C254" s="6" t="str">
        <f t="shared" si="23"/>
        <v>17</v>
      </c>
      <c r="D254" s="4" t="str">
        <f t="shared" si="24"/>
        <v>Jan</v>
      </c>
      <c r="E254" t="str">
        <f t="shared" si="25"/>
        <v>26</v>
      </c>
      <c r="F254" t="str">
        <f t="shared" si="26"/>
        <v>JA</v>
      </c>
      <c r="G254" t="str">
        <f t="shared" si="27"/>
        <v>26JA17</v>
      </c>
    </row>
    <row r="255" spans="1:7">
      <c r="A255" s="1">
        <f>+'2025'!Z12</f>
        <v>46040</v>
      </c>
      <c r="B255" s="5">
        <f t="shared" si="22"/>
        <v>18</v>
      </c>
      <c r="C255" s="6" t="str">
        <f t="shared" si="23"/>
        <v>18</v>
      </c>
      <c r="D255" s="4" t="str">
        <f t="shared" si="24"/>
        <v>Jan</v>
      </c>
      <c r="E255" t="str">
        <f t="shared" si="25"/>
        <v>26</v>
      </c>
      <c r="F255" t="str">
        <f t="shared" si="26"/>
        <v>JA</v>
      </c>
      <c r="G255" t="str">
        <f t="shared" si="27"/>
        <v>26JA18</v>
      </c>
    </row>
    <row r="256" spans="1:7">
      <c r="A256" s="1">
        <f>+'2025'!Z13</f>
        <v>46041</v>
      </c>
      <c r="B256" s="5">
        <f t="shared" si="22"/>
        <v>19</v>
      </c>
      <c r="C256" s="6" t="str">
        <f t="shared" si="23"/>
        <v>19</v>
      </c>
      <c r="D256" s="4" t="str">
        <f t="shared" si="24"/>
        <v>Jan</v>
      </c>
      <c r="E256" t="str">
        <f t="shared" si="25"/>
        <v>26</v>
      </c>
      <c r="F256" t="str">
        <f t="shared" si="26"/>
        <v>JA</v>
      </c>
      <c r="G256" t="str">
        <f t="shared" si="27"/>
        <v>26JA19</v>
      </c>
    </row>
    <row r="257" spans="1:7">
      <c r="A257" s="1">
        <f>+'2025'!Z14</f>
        <v>46042</v>
      </c>
      <c r="B257" s="5">
        <f t="shared" si="22"/>
        <v>20</v>
      </c>
      <c r="C257" s="6" t="str">
        <f t="shared" si="23"/>
        <v>20</v>
      </c>
      <c r="D257" s="4" t="str">
        <f t="shared" si="24"/>
        <v>Jan</v>
      </c>
      <c r="E257" t="str">
        <f t="shared" si="25"/>
        <v>26</v>
      </c>
      <c r="F257" t="str">
        <f t="shared" si="26"/>
        <v>JA</v>
      </c>
      <c r="G257" t="str">
        <f t="shared" si="27"/>
        <v>26JA20</v>
      </c>
    </row>
    <row r="258" spans="1:7">
      <c r="A258" s="1">
        <f>+'2025'!Z15</f>
        <v>46043</v>
      </c>
      <c r="B258" s="5">
        <f t="shared" si="22"/>
        <v>21</v>
      </c>
      <c r="C258" s="6" t="str">
        <f t="shared" si="23"/>
        <v>21</v>
      </c>
      <c r="D258" s="4" t="str">
        <f t="shared" si="24"/>
        <v>Jan</v>
      </c>
      <c r="E258" t="str">
        <f t="shared" si="25"/>
        <v>26</v>
      </c>
      <c r="F258" t="str">
        <f t="shared" si="26"/>
        <v>JA</v>
      </c>
      <c r="G258" t="str">
        <f t="shared" si="27"/>
        <v>26JA21</v>
      </c>
    </row>
    <row r="259" spans="1:7">
      <c r="A259" s="1">
        <f>+'2025'!Z16</f>
        <v>46044</v>
      </c>
      <c r="B259" s="5">
        <f t="shared" si="22"/>
        <v>22</v>
      </c>
      <c r="C259" s="6" t="str">
        <f t="shared" si="23"/>
        <v>22</v>
      </c>
      <c r="D259" s="4" t="str">
        <f t="shared" si="24"/>
        <v>Jan</v>
      </c>
      <c r="E259" t="str">
        <f t="shared" si="25"/>
        <v>26</v>
      </c>
      <c r="F259" t="str">
        <f t="shared" si="26"/>
        <v>JA</v>
      </c>
      <c r="G259" t="str">
        <f t="shared" si="27"/>
        <v>26JA22</v>
      </c>
    </row>
    <row r="260" spans="1:7">
      <c r="A260" s="1">
        <f>+'2025'!Z17</f>
        <v>46045</v>
      </c>
      <c r="B260" s="5">
        <f t="shared" ref="B260:B323" si="28">DAY(A260)</f>
        <v>23</v>
      </c>
      <c r="C260" s="6" t="str">
        <f t="shared" ref="C260:C323" si="29">TEXT(B260,"00")</f>
        <v>23</v>
      </c>
      <c r="D260" s="4" t="str">
        <f t="shared" si="24"/>
        <v>Jan</v>
      </c>
      <c r="E260" t="str">
        <f t="shared" si="25"/>
        <v>26</v>
      </c>
      <c r="F260" t="str">
        <f t="shared" si="26"/>
        <v>JA</v>
      </c>
      <c r="G260" t="str">
        <f t="shared" si="27"/>
        <v>26JA23</v>
      </c>
    </row>
    <row r="261" spans="1:7">
      <c r="A261" s="1">
        <f>+'2025'!Z18</f>
        <v>46046</v>
      </c>
      <c r="B261" s="5">
        <f t="shared" si="28"/>
        <v>24</v>
      </c>
      <c r="C261" s="6" t="str">
        <f t="shared" si="29"/>
        <v>24</v>
      </c>
      <c r="D261" s="4" t="str">
        <f t="shared" si="24"/>
        <v>Jan</v>
      </c>
      <c r="E261" t="str">
        <f t="shared" si="25"/>
        <v>26</v>
      </c>
      <c r="F261" t="str">
        <f t="shared" si="26"/>
        <v>JA</v>
      </c>
      <c r="G261" t="str">
        <f t="shared" si="27"/>
        <v>26JA24</v>
      </c>
    </row>
    <row r="262" spans="1:7">
      <c r="A262" s="1">
        <f>+'2025'!Z19</f>
        <v>46047</v>
      </c>
      <c r="B262" s="5">
        <f t="shared" si="28"/>
        <v>25</v>
      </c>
      <c r="C262" s="6" t="str">
        <f t="shared" si="29"/>
        <v>25</v>
      </c>
      <c r="D262" s="4" t="str">
        <f t="shared" si="24"/>
        <v>Jan</v>
      </c>
      <c r="E262" t="str">
        <f t="shared" si="25"/>
        <v>26</v>
      </c>
      <c r="F262" t="str">
        <f t="shared" si="26"/>
        <v>JA</v>
      </c>
      <c r="G262" t="str">
        <f t="shared" si="27"/>
        <v>26JA25</v>
      </c>
    </row>
    <row r="263" spans="1:7">
      <c r="A263" s="1">
        <f>+'2025'!Z20</f>
        <v>46048</v>
      </c>
      <c r="B263" s="5">
        <f t="shared" si="28"/>
        <v>26</v>
      </c>
      <c r="C263" s="6" t="str">
        <f t="shared" si="29"/>
        <v>26</v>
      </c>
      <c r="D263" s="4" t="str">
        <f t="shared" si="24"/>
        <v>Jan</v>
      </c>
      <c r="E263" t="str">
        <f t="shared" si="25"/>
        <v>26</v>
      </c>
      <c r="F263" t="str">
        <f t="shared" si="26"/>
        <v>JA</v>
      </c>
      <c r="G263" t="str">
        <f t="shared" si="27"/>
        <v>26JA26</v>
      </c>
    </row>
    <row r="264" spans="1:7">
      <c r="A264" s="1">
        <f>+'2025'!Z21</f>
        <v>46049</v>
      </c>
      <c r="B264" s="5">
        <f t="shared" si="28"/>
        <v>27</v>
      </c>
      <c r="C264" s="6" t="str">
        <f t="shared" si="29"/>
        <v>27</v>
      </c>
      <c r="D264" s="4" t="str">
        <f t="shared" si="24"/>
        <v>Jan</v>
      </c>
      <c r="E264" t="str">
        <f t="shared" si="25"/>
        <v>26</v>
      </c>
      <c r="F264" t="str">
        <f t="shared" si="26"/>
        <v>JA</v>
      </c>
      <c r="G264" t="str">
        <f t="shared" si="27"/>
        <v>26JA27</v>
      </c>
    </row>
    <row r="265" spans="1:7">
      <c r="A265" s="1">
        <f>+'2025'!Z22</f>
        <v>46050</v>
      </c>
      <c r="B265" s="5">
        <f t="shared" si="28"/>
        <v>28</v>
      </c>
      <c r="C265" s="6" t="str">
        <f t="shared" si="29"/>
        <v>28</v>
      </c>
      <c r="D265" s="4" t="str">
        <f t="shared" si="24"/>
        <v>Jan</v>
      </c>
      <c r="E265" t="str">
        <f t="shared" si="25"/>
        <v>26</v>
      </c>
      <c r="F265" t="str">
        <f t="shared" si="26"/>
        <v>JA</v>
      </c>
      <c r="G265" t="str">
        <f t="shared" si="27"/>
        <v>26JA28</v>
      </c>
    </row>
    <row r="266" spans="1:7">
      <c r="A266" s="1">
        <f>+'2025'!Z23</f>
        <v>46051</v>
      </c>
      <c r="B266" s="5">
        <f t="shared" si="28"/>
        <v>29</v>
      </c>
      <c r="C266" s="6" t="str">
        <f t="shared" si="29"/>
        <v>29</v>
      </c>
      <c r="D266" s="4" t="str">
        <f t="shared" si="24"/>
        <v>Jan</v>
      </c>
      <c r="E266" t="str">
        <f t="shared" si="25"/>
        <v>26</v>
      </c>
      <c r="F266" t="str">
        <f t="shared" si="26"/>
        <v>JA</v>
      </c>
      <c r="G266" t="str">
        <f t="shared" si="27"/>
        <v>26JA29</v>
      </c>
    </row>
    <row r="267" spans="1:7">
      <c r="A267" s="1">
        <f>+'2025'!Z24</f>
        <v>46052</v>
      </c>
      <c r="B267" s="5">
        <f t="shared" si="28"/>
        <v>30</v>
      </c>
      <c r="C267" s="6" t="str">
        <f t="shared" si="29"/>
        <v>30</v>
      </c>
      <c r="D267" s="4" t="str">
        <f t="shared" si="24"/>
        <v>Jan</v>
      </c>
      <c r="E267" t="str">
        <f t="shared" si="25"/>
        <v>26</v>
      </c>
      <c r="F267" t="str">
        <f t="shared" si="26"/>
        <v>JA</v>
      </c>
      <c r="G267" t="str">
        <f t="shared" si="27"/>
        <v>26JA30</v>
      </c>
    </row>
    <row r="268" spans="1:7">
      <c r="A268" s="1">
        <f>+'2025'!Z25</f>
        <v>46053</v>
      </c>
      <c r="B268" s="5">
        <f t="shared" si="28"/>
        <v>31</v>
      </c>
      <c r="C268" s="6" t="str">
        <f t="shared" si="29"/>
        <v>31</v>
      </c>
      <c r="D268" s="4" t="str">
        <f t="shared" si="24"/>
        <v>Jan</v>
      </c>
      <c r="E268" t="str">
        <f t="shared" si="25"/>
        <v>26</v>
      </c>
      <c r="F268" t="str">
        <f t="shared" si="26"/>
        <v>JA</v>
      </c>
      <c r="G268" t="str">
        <f t="shared" si="27"/>
        <v>26JA31</v>
      </c>
    </row>
    <row r="269" spans="1:7">
      <c r="A269" s="1">
        <f>+'2025'!Z26</f>
        <v>46054</v>
      </c>
      <c r="B269" s="5">
        <f t="shared" si="28"/>
        <v>1</v>
      </c>
      <c r="C269" s="6" t="str">
        <f t="shared" si="29"/>
        <v>01</v>
      </c>
      <c r="D269" s="4" t="str">
        <f t="shared" si="24"/>
        <v>Feb</v>
      </c>
      <c r="E269" t="str">
        <f t="shared" si="25"/>
        <v>26</v>
      </c>
      <c r="F269" t="str">
        <f t="shared" si="26"/>
        <v>FE</v>
      </c>
      <c r="G269" t="str">
        <f t="shared" si="27"/>
        <v>26FE01</v>
      </c>
    </row>
    <row r="270" spans="1:7">
      <c r="A270" s="1">
        <f>+'2025'!Z27</f>
        <v>46055</v>
      </c>
      <c r="B270" s="5">
        <f t="shared" si="28"/>
        <v>2</v>
      </c>
      <c r="C270" s="6" t="str">
        <f t="shared" si="29"/>
        <v>02</v>
      </c>
      <c r="D270" s="4" t="str">
        <f t="shared" si="24"/>
        <v>Feb</v>
      </c>
      <c r="E270" t="str">
        <f t="shared" si="25"/>
        <v>26</v>
      </c>
      <c r="F270" t="str">
        <f t="shared" si="26"/>
        <v>FE</v>
      </c>
      <c r="G270" t="str">
        <f t="shared" si="27"/>
        <v>26FE02</v>
      </c>
    </row>
    <row r="271" spans="1:7">
      <c r="A271" s="1">
        <f>+'2025'!Z28</f>
        <v>46056</v>
      </c>
      <c r="B271" s="5">
        <f t="shared" si="28"/>
        <v>3</v>
      </c>
      <c r="C271" s="6" t="str">
        <f t="shared" si="29"/>
        <v>03</v>
      </c>
      <c r="D271" s="4" t="str">
        <f t="shared" si="24"/>
        <v>Feb</v>
      </c>
      <c r="E271" t="str">
        <f t="shared" si="25"/>
        <v>26</v>
      </c>
      <c r="F271" t="str">
        <f t="shared" si="26"/>
        <v>FE</v>
      </c>
      <c r="G271" t="str">
        <f t="shared" si="27"/>
        <v>26FE03</v>
      </c>
    </row>
    <row r="272" spans="1:7">
      <c r="A272" s="1">
        <f>+'2025'!Z29</f>
        <v>46057</v>
      </c>
      <c r="B272" s="5">
        <f t="shared" si="28"/>
        <v>4</v>
      </c>
      <c r="C272" s="6" t="str">
        <f t="shared" si="29"/>
        <v>04</v>
      </c>
      <c r="D272" s="4" t="str">
        <f t="shared" si="24"/>
        <v>Feb</v>
      </c>
      <c r="E272" t="str">
        <f t="shared" si="25"/>
        <v>26</v>
      </c>
      <c r="F272" t="str">
        <f t="shared" si="26"/>
        <v>FE</v>
      </c>
      <c r="G272" t="str">
        <f t="shared" si="27"/>
        <v>26FE04</v>
      </c>
    </row>
    <row r="273" spans="1:7">
      <c r="A273" s="1">
        <f>+'2025'!Z30</f>
        <v>46058</v>
      </c>
      <c r="B273" s="5">
        <f t="shared" si="28"/>
        <v>5</v>
      </c>
      <c r="C273" s="6" t="str">
        <f t="shared" si="29"/>
        <v>05</v>
      </c>
      <c r="D273" s="4" t="str">
        <f t="shared" si="24"/>
        <v>Feb</v>
      </c>
      <c r="E273" t="str">
        <f t="shared" si="25"/>
        <v>26</v>
      </c>
      <c r="F273" t="str">
        <f t="shared" si="26"/>
        <v>FE</v>
      </c>
      <c r="G273" t="str">
        <f t="shared" si="27"/>
        <v>26FE05</v>
      </c>
    </row>
    <row r="274" spans="1:7">
      <c r="A274" s="1">
        <f>+'2025'!Z31</f>
        <v>46059</v>
      </c>
      <c r="B274" s="5">
        <f t="shared" si="28"/>
        <v>6</v>
      </c>
      <c r="C274" s="6" t="str">
        <f t="shared" si="29"/>
        <v>06</v>
      </c>
      <c r="D274" s="4" t="str">
        <f t="shared" si="24"/>
        <v>Feb</v>
      </c>
      <c r="E274" t="str">
        <f t="shared" si="25"/>
        <v>26</v>
      </c>
      <c r="F274" t="str">
        <f t="shared" si="26"/>
        <v>FE</v>
      </c>
      <c r="G274" t="str">
        <f t="shared" si="27"/>
        <v>26FE06</v>
      </c>
    </row>
    <row r="275" spans="1:7">
      <c r="A275" s="1">
        <f>+'2025'!Z32</f>
        <v>46060</v>
      </c>
      <c r="B275" s="5">
        <f t="shared" si="28"/>
        <v>7</v>
      </c>
      <c r="C275" s="6" t="str">
        <f t="shared" si="29"/>
        <v>07</v>
      </c>
      <c r="D275" s="4" t="str">
        <f t="shared" ref="D275:D338" si="30">+TEXT(A275,"mmm")</f>
        <v>Feb</v>
      </c>
      <c r="E275" t="str">
        <f t="shared" ref="E275:E338" si="31">+TEXT(A275,"yy")</f>
        <v>26</v>
      </c>
      <c r="F275" t="str">
        <f t="shared" ref="F275:F338" si="32">VLOOKUP(D275,$I$3:$J$14,2,FALSE)</f>
        <v>FE</v>
      </c>
      <c r="G275" t="str">
        <f t="shared" ref="G275:G338" si="33">+E275&amp;F275&amp;C275</f>
        <v>26FE07</v>
      </c>
    </row>
    <row r="276" spans="1:7">
      <c r="A276" s="1">
        <f>+'2025'!AC3</f>
        <v>46061</v>
      </c>
      <c r="B276" s="5">
        <f t="shared" si="28"/>
        <v>8</v>
      </c>
      <c r="C276" s="6" t="str">
        <f t="shared" si="29"/>
        <v>08</v>
      </c>
      <c r="D276" s="4" t="str">
        <f t="shared" si="30"/>
        <v>Feb</v>
      </c>
      <c r="E276" t="str">
        <f t="shared" si="31"/>
        <v>26</v>
      </c>
      <c r="F276" t="str">
        <f t="shared" si="32"/>
        <v>FE</v>
      </c>
      <c r="G276" t="str">
        <f t="shared" si="33"/>
        <v>26FE08</v>
      </c>
    </row>
    <row r="277" spans="1:7">
      <c r="A277" s="1">
        <f>+'2025'!AC4</f>
        <v>46062</v>
      </c>
      <c r="B277" s="5">
        <f t="shared" si="28"/>
        <v>9</v>
      </c>
      <c r="C277" s="6" t="str">
        <f t="shared" si="29"/>
        <v>09</v>
      </c>
      <c r="D277" s="4" t="str">
        <f t="shared" si="30"/>
        <v>Feb</v>
      </c>
      <c r="E277" t="str">
        <f t="shared" si="31"/>
        <v>26</v>
      </c>
      <c r="F277" t="str">
        <f t="shared" si="32"/>
        <v>FE</v>
      </c>
      <c r="G277" t="str">
        <f t="shared" si="33"/>
        <v>26FE09</v>
      </c>
    </row>
    <row r="278" spans="1:7">
      <c r="A278" s="1">
        <f>+'2025'!AC5</f>
        <v>46063</v>
      </c>
      <c r="B278" s="5">
        <f t="shared" si="28"/>
        <v>10</v>
      </c>
      <c r="C278" s="6" t="str">
        <f t="shared" si="29"/>
        <v>10</v>
      </c>
      <c r="D278" s="4" t="str">
        <f t="shared" si="30"/>
        <v>Feb</v>
      </c>
      <c r="E278" t="str">
        <f t="shared" si="31"/>
        <v>26</v>
      </c>
      <c r="F278" t="str">
        <f t="shared" si="32"/>
        <v>FE</v>
      </c>
      <c r="G278" t="str">
        <f t="shared" si="33"/>
        <v>26FE10</v>
      </c>
    </row>
    <row r="279" spans="1:7">
      <c r="A279" s="1">
        <f>+'2025'!AC6</f>
        <v>46064</v>
      </c>
      <c r="B279" s="5">
        <f t="shared" si="28"/>
        <v>11</v>
      </c>
      <c r="C279" s="6" t="str">
        <f t="shared" si="29"/>
        <v>11</v>
      </c>
      <c r="D279" s="4" t="str">
        <f t="shared" si="30"/>
        <v>Feb</v>
      </c>
      <c r="E279" t="str">
        <f t="shared" si="31"/>
        <v>26</v>
      </c>
      <c r="F279" t="str">
        <f t="shared" si="32"/>
        <v>FE</v>
      </c>
      <c r="G279" t="str">
        <f t="shared" si="33"/>
        <v>26FE11</v>
      </c>
    </row>
    <row r="280" spans="1:7">
      <c r="A280" s="1">
        <f>+'2025'!AC7</f>
        <v>46065</v>
      </c>
      <c r="B280" s="5">
        <f t="shared" si="28"/>
        <v>12</v>
      </c>
      <c r="C280" s="6" t="str">
        <f t="shared" si="29"/>
        <v>12</v>
      </c>
      <c r="D280" s="4" t="str">
        <f t="shared" si="30"/>
        <v>Feb</v>
      </c>
      <c r="E280" t="str">
        <f t="shared" si="31"/>
        <v>26</v>
      </c>
      <c r="F280" t="str">
        <f t="shared" si="32"/>
        <v>FE</v>
      </c>
      <c r="G280" t="str">
        <f t="shared" si="33"/>
        <v>26FE12</v>
      </c>
    </row>
    <row r="281" spans="1:7">
      <c r="A281" s="1">
        <f>+'2025'!AC8</f>
        <v>46066</v>
      </c>
      <c r="B281" s="5">
        <f t="shared" si="28"/>
        <v>13</v>
      </c>
      <c r="C281" s="6" t="str">
        <f t="shared" si="29"/>
        <v>13</v>
      </c>
      <c r="D281" s="4" t="str">
        <f t="shared" si="30"/>
        <v>Feb</v>
      </c>
      <c r="E281" t="str">
        <f t="shared" si="31"/>
        <v>26</v>
      </c>
      <c r="F281" t="str">
        <f t="shared" si="32"/>
        <v>FE</v>
      </c>
      <c r="G281" t="str">
        <f t="shared" si="33"/>
        <v>26FE13</v>
      </c>
    </row>
    <row r="282" spans="1:7">
      <c r="A282" s="1">
        <f>+'2025'!AC9</f>
        <v>46067</v>
      </c>
      <c r="B282" s="5">
        <f t="shared" si="28"/>
        <v>14</v>
      </c>
      <c r="C282" s="6" t="str">
        <f t="shared" si="29"/>
        <v>14</v>
      </c>
      <c r="D282" s="4" t="str">
        <f t="shared" si="30"/>
        <v>Feb</v>
      </c>
      <c r="E282" t="str">
        <f t="shared" si="31"/>
        <v>26</v>
      </c>
      <c r="F282" t="str">
        <f t="shared" si="32"/>
        <v>FE</v>
      </c>
      <c r="G282" t="str">
        <f t="shared" si="33"/>
        <v>26FE14</v>
      </c>
    </row>
    <row r="283" spans="1:7">
      <c r="A283" s="1">
        <f>+'2025'!AC10</f>
        <v>46068</v>
      </c>
      <c r="B283" s="5">
        <f t="shared" si="28"/>
        <v>15</v>
      </c>
      <c r="C283" s="6" t="str">
        <f t="shared" si="29"/>
        <v>15</v>
      </c>
      <c r="D283" s="4" t="str">
        <f t="shared" si="30"/>
        <v>Feb</v>
      </c>
      <c r="E283" t="str">
        <f t="shared" si="31"/>
        <v>26</v>
      </c>
      <c r="F283" t="str">
        <f t="shared" si="32"/>
        <v>FE</v>
      </c>
      <c r="G283" t="str">
        <f t="shared" si="33"/>
        <v>26FE15</v>
      </c>
    </row>
    <row r="284" spans="1:7">
      <c r="A284" s="1">
        <f>+'2025'!AC11</f>
        <v>46069</v>
      </c>
      <c r="B284" s="5">
        <f t="shared" si="28"/>
        <v>16</v>
      </c>
      <c r="C284" s="6" t="str">
        <f t="shared" si="29"/>
        <v>16</v>
      </c>
      <c r="D284" s="4" t="str">
        <f t="shared" si="30"/>
        <v>Feb</v>
      </c>
      <c r="E284" t="str">
        <f t="shared" si="31"/>
        <v>26</v>
      </c>
      <c r="F284" t="str">
        <f t="shared" si="32"/>
        <v>FE</v>
      </c>
      <c r="G284" t="str">
        <f t="shared" si="33"/>
        <v>26FE16</v>
      </c>
    </row>
    <row r="285" spans="1:7">
      <c r="A285" s="1">
        <f>+'2025'!AC12</f>
        <v>46070</v>
      </c>
      <c r="B285" s="5">
        <f t="shared" si="28"/>
        <v>17</v>
      </c>
      <c r="C285" s="6" t="str">
        <f t="shared" si="29"/>
        <v>17</v>
      </c>
      <c r="D285" s="4" t="str">
        <f t="shared" si="30"/>
        <v>Feb</v>
      </c>
      <c r="E285" t="str">
        <f t="shared" si="31"/>
        <v>26</v>
      </c>
      <c r="F285" t="str">
        <f t="shared" si="32"/>
        <v>FE</v>
      </c>
      <c r="G285" t="str">
        <f t="shared" si="33"/>
        <v>26FE17</v>
      </c>
    </row>
    <row r="286" spans="1:7">
      <c r="A286" s="1">
        <f>+'2025'!AC13</f>
        <v>46071</v>
      </c>
      <c r="B286" s="5">
        <f t="shared" si="28"/>
        <v>18</v>
      </c>
      <c r="C286" s="6" t="str">
        <f t="shared" si="29"/>
        <v>18</v>
      </c>
      <c r="D286" s="4" t="str">
        <f t="shared" si="30"/>
        <v>Feb</v>
      </c>
      <c r="E286" t="str">
        <f t="shared" si="31"/>
        <v>26</v>
      </c>
      <c r="F286" t="str">
        <f t="shared" si="32"/>
        <v>FE</v>
      </c>
      <c r="G286" t="str">
        <f t="shared" si="33"/>
        <v>26FE18</v>
      </c>
    </row>
    <row r="287" spans="1:7">
      <c r="A287" s="1">
        <f>+'2025'!AC14</f>
        <v>46072</v>
      </c>
      <c r="B287" s="5">
        <f t="shared" si="28"/>
        <v>19</v>
      </c>
      <c r="C287" s="6" t="str">
        <f t="shared" si="29"/>
        <v>19</v>
      </c>
      <c r="D287" s="4" t="str">
        <f t="shared" si="30"/>
        <v>Feb</v>
      </c>
      <c r="E287" t="str">
        <f t="shared" si="31"/>
        <v>26</v>
      </c>
      <c r="F287" t="str">
        <f t="shared" si="32"/>
        <v>FE</v>
      </c>
      <c r="G287" t="str">
        <f t="shared" si="33"/>
        <v>26FE19</v>
      </c>
    </row>
    <row r="288" spans="1:7">
      <c r="A288" s="1">
        <f>+'2025'!AC15</f>
        <v>46073</v>
      </c>
      <c r="B288" s="5">
        <f t="shared" si="28"/>
        <v>20</v>
      </c>
      <c r="C288" s="6" t="str">
        <f t="shared" si="29"/>
        <v>20</v>
      </c>
      <c r="D288" s="4" t="str">
        <f t="shared" si="30"/>
        <v>Feb</v>
      </c>
      <c r="E288" t="str">
        <f t="shared" si="31"/>
        <v>26</v>
      </c>
      <c r="F288" t="str">
        <f t="shared" si="32"/>
        <v>FE</v>
      </c>
      <c r="G288" t="str">
        <f t="shared" si="33"/>
        <v>26FE20</v>
      </c>
    </row>
    <row r="289" spans="1:7">
      <c r="A289" s="1">
        <f>+'2025'!AC16</f>
        <v>46074</v>
      </c>
      <c r="B289" s="5">
        <f t="shared" si="28"/>
        <v>21</v>
      </c>
      <c r="C289" s="6" t="str">
        <f t="shared" si="29"/>
        <v>21</v>
      </c>
      <c r="D289" s="4" t="str">
        <f t="shared" si="30"/>
        <v>Feb</v>
      </c>
      <c r="E289" t="str">
        <f t="shared" si="31"/>
        <v>26</v>
      </c>
      <c r="F289" t="str">
        <f t="shared" si="32"/>
        <v>FE</v>
      </c>
      <c r="G289" t="str">
        <f t="shared" si="33"/>
        <v>26FE21</v>
      </c>
    </row>
    <row r="290" spans="1:7">
      <c r="A290" s="1">
        <f>+'2025'!AC17</f>
        <v>46075</v>
      </c>
      <c r="B290" s="5">
        <f t="shared" si="28"/>
        <v>22</v>
      </c>
      <c r="C290" s="6" t="str">
        <f t="shared" si="29"/>
        <v>22</v>
      </c>
      <c r="D290" s="4" t="str">
        <f t="shared" si="30"/>
        <v>Feb</v>
      </c>
      <c r="E290" t="str">
        <f t="shared" si="31"/>
        <v>26</v>
      </c>
      <c r="F290" t="str">
        <f t="shared" si="32"/>
        <v>FE</v>
      </c>
      <c r="G290" t="str">
        <f t="shared" si="33"/>
        <v>26FE22</v>
      </c>
    </row>
    <row r="291" spans="1:7">
      <c r="A291" s="1">
        <f>+'2025'!AC18</f>
        <v>46076</v>
      </c>
      <c r="B291" s="5">
        <f t="shared" si="28"/>
        <v>23</v>
      </c>
      <c r="C291" s="6" t="str">
        <f t="shared" si="29"/>
        <v>23</v>
      </c>
      <c r="D291" s="4" t="str">
        <f t="shared" si="30"/>
        <v>Feb</v>
      </c>
      <c r="E291" t="str">
        <f t="shared" si="31"/>
        <v>26</v>
      </c>
      <c r="F291" t="str">
        <f t="shared" si="32"/>
        <v>FE</v>
      </c>
      <c r="G291" t="str">
        <f t="shared" si="33"/>
        <v>26FE23</v>
      </c>
    </row>
    <row r="292" spans="1:7">
      <c r="A292" s="1">
        <f>+'2025'!AC19</f>
        <v>46077</v>
      </c>
      <c r="B292" s="5">
        <f t="shared" si="28"/>
        <v>24</v>
      </c>
      <c r="C292" s="6" t="str">
        <f t="shared" si="29"/>
        <v>24</v>
      </c>
      <c r="D292" s="4" t="str">
        <f t="shared" si="30"/>
        <v>Feb</v>
      </c>
      <c r="E292" t="str">
        <f t="shared" si="31"/>
        <v>26</v>
      </c>
      <c r="F292" t="str">
        <f t="shared" si="32"/>
        <v>FE</v>
      </c>
      <c r="G292" t="str">
        <f t="shared" si="33"/>
        <v>26FE24</v>
      </c>
    </row>
    <row r="293" spans="1:7">
      <c r="A293" s="1">
        <f>+'2025'!AC20</f>
        <v>46078</v>
      </c>
      <c r="B293" s="5">
        <f t="shared" si="28"/>
        <v>25</v>
      </c>
      <c r="C293" s="6" t="str">
        <f t="shared" si="29"/>
        <v>25</v>
      </c>
      <c r="D293" s="4" t="str">
        <f t="shared" si="30"/>
        <v>Feb</v>
      </c>
      <c r="E293" t="str">
        <f t="shared" si="31"/>
        <v>26</v>
      </c>
      <c r="F293" t="str">
        <f t="shared" si="32"/>
        <v>FE</v>
      </c>
      <c r="G293" t="str">
        <f t="shared" si="33"/>
        <v>26FE25</v>
      </c>
    </row>
    <row r="294" spans="1:7">
      <c r="A294" s="1">
        <f>+'2025'!AC21</f>
        <v>46079</v>
      </c>
      <c r="B294" s="5">
        <f t="shared" si="28"/>
        <v>26</v>
      </c>
      <c r="C294" s="6" t="str">
        <f t="shared" si="29"/>
        <v>26</v>
      </c>
      <c r="D294" s="4" t="str">
        <f t="shared" si="30"/>
        <v>Feb</v>
      </c>
      <c r="E294" t="str">
        <f t="shared" si="31"/>
        <v>26</v>
      </c>
      <c r="F294" t="str">
        <f t="shared" si="32"/>
        <v>FE</v>
      </c>
      <c r="G294" t="str">
        <f t="shared" si="33"/>
        <v>26FE26</v>
      </c>
    </row>
    <row r="295" spans="1:7">
      <c r="A295" s="1">
        <f>+'2025'!AC22</f>
        <v>46080</v>
      </c>
      <c r="B295" s="5">
        <f t="shared" si="28"/>
        <v>27</v>
      </c>
      <c r="C295" s="6" t="str">
        <f t="shared" si="29"/>
        <v>27</v>
      </c>
      <c r="D295" s="4" t="str">
        <f t="shared" si="30"/>
        <v>Feb</v>
      </c>
      <c r="E295" t="str">
        <f t="shared" si="31"/>
        <v>26</v>
      </c>
      <c r="F295" t="str">
        <f t="shared" si="32"/>
        <v>FE</v>
      </c>
      <c r="G295" t="str">
        <f t="shared" si="33"/>
        <v>26FE27</v>
      </c>
    </row>
    <row r="296" spans="1:7">
      <c r="A296" s="1">
        <f>+'2025'!AC23</f>
        <v>46081</v>
      </c>
      <c r="B296" s="5">
        <f t="shared" si="28"/>
        <v>28</v>
      </c>
      <c r="C296" s="6" t="str">
        <f t="shared" si="29"/>
        <v>28</v>
      </c>
      <c r="D296" s="4" t="str">
        <f t="shared" si="30"/>
        <v>Feb</v>
      </c>
      <c r="E296" t="str">
        <f t="shared" si="31"/>
        <v>26</v>
      </c>
      <c r="F296" t="str">
        <f t="shared" si="32"/>
        <v>FE</v>
      </c>
      <c r="G296" t="str">
        <f t="shared" si="33"/>
        <v>26FE28</v>
      </c>
    </row>
    <row r="297" spans="1:7">
      <c r="A297" s="1">
        <f>+'2025'!AC24</f>
        <v>46082</v>
      </c>
      <c r="B297" s="5">
        <f t="shared" si="28"/>
        <v>1</v>
      </c>
      <c r="C297" s="6" t="str">
        <f t="shared" si="29"/>
        <v>01</v>
      </c>
      <c r="D297" s="4" t="str">
        <f t="shared" si="30"/>
        <v>Mar</v>
      </c>
      <c r="E297" t="str">
        <f t="shared" si="31"/>
        <v>26</v>
      </c>
      <c r="F297" t="str">
        <f t="shared" si="32"/>
        <v>MR</v>
      </c>
      <c r="G297" t="str">
        <f t="shared" si="33"/>
        <v>26MR01</v>
      </c>
    </row>
    <row r="298" spans="1:7">
      <c r="A298" s="1">
        <f>+'2025'!AC25</f>
        <v>46083</v>
      </c>
      <c r="B298" s="5">
        <f t="shared" si="28"/>
        <v>2</v>
      </c>
      <c r="C298" s="6" t="str">
        <f t="shared" si="29"/>
        <v>02</v>
      </c>
      <c r="D298" s="4" t="str">
        <f t="shared" si="30"/>
        <v>Mar</v>
      </c>
      <c r="E298" t="str">
        <f t="shared" si="31"/>
        <v>26</v>
      </c>
      <c r="F298" t="str">
        <f t="shared" si="32"/>
        <v>MR</v>
      </c>
      <c r="G298" t="str">
        <f t="shared" si="33"/>
        <v>26MR02</v>
      </c>
    </row>
    <row r="299" spans="1:7">
      <c r="A299" s="1">
        <f>+'2025'!AC26</f>
        <v>46084</v>
      </c>
      <c r="B299" s="5">
        <f t="shared" si="28"/>
        <v>3</v>
      </c>
      <c r="C299" s="6" t="str">
        <f t="shared" si="29"/>
        <v>03</v>
      </c>
      <c r="D299" s="4" t="str">
        <f t="shared" si="30"/>
        <v>Mar</v>
      </c>
      <c r="E299" t="str">
        <f t="shared" si="31"/>
        <v>26</v>
      </c>
      <c r="F299" t="str">
        <f t="shared" si="32"/>
        <v>MR</v>
      </c>
      <c r="G299" t="str">
        <f t="shared" si="33"/>
        <v>26MR03</v>
      </c>
    </row>
    <row r="300" spans="1:7">
      <c r="A300" s="1">
        <f>+'2025'!AC27</f>
        <v>46085</v>
      </c>
      <c r="B300" s="5">
        <f t="shared" si="28"/>
        <v>4</v>
      </c>
      <c r="C300" s="6" t="str">
        <f t="shared" si="29"/>
        <v>04</v>
      </c>
      <c r="D300" s="4" t="str">
        <f t="shared" si="30"/>
        <v>Mar</v>
      </c>
      <c r="E300" t="str">
        <f t="shared" si="31"/>
        <v>26</v>
      </c>
      <c r="F300" t="str">
        <f t="shared" si="32"/>
        <v>MR</v>
      </c>
      <c r="G300" t="str">
        <f t="shared" si="33"/>
        <v>26MR04</v>
      </c>
    </row>
    <row r="301" spans="1:7">
      <c r="A301" s="1">
        <f>+'2025'!AC28</f>
        <v>46086</v>
      </c>
      <c r="B301" s="5">
        <f t="shared" si="28"/>
        <v>5</v>
      </c>
      <c r="C301" s="6" t="str">
        <f t="shared" si="29"/>
        <v>05</v>
      </c>
      <c r="D301" s="4" t="str">
        <f t="shared" si="30"/>
        <v>Mar</v>
      </c>
      <c r="E301" t="str">
        <f t="shared" si="31"/>
        <v>26</v>
      </c>
      <c r="F301" t="str">
        <f t="shared" si="32"/>
        <v>MR</v>
      </c>
      <c r="G301" t="str">
        <f t="shared" si="33"/>
        <v>26MR05</v>
      </c>
    </row>
    <row r="302" spans="1:7">
      <c r="A302" s="1">
        <f>+'2025'!AC29</f>
        <v>46087</v>
      </c>
      <c r="B302" s="5">
        <f t="shared" si="28"/>
        <v>6</v>
      </c>
      <c r="C302" s="6" t="str">
        <f t="shared" si="29"/>
        <v>06</v>
      </c>
      <c r="D302" s="4" t="str">
        <f t="shared" si="30"/>
        <v>Mar</v>
      </c>
      <c r="E302" t="str">
        <f t="shared" si="31"/>
        <v>26</v>
      </c>
      <c r="F302" t="str">
        <f t="shared" si="32"/>
        <v>MR</v>
      </c>
      <c r="G302" t="str">
        <f t="shared" si="33"/>
        <v>26MR06</v>
      </c>
    </row>
    <row r="303" spans="1:7">
      <c r="A303" s="1">
        <f>+'2025'!AC30</f>
        <v>46088</v>
      </c>
      <c r="B303" s="5">
        <f t="shared" si="28"/>
        <v>7</v>
      </c>
      <c r="C303" s="6" t="str">
        <f t="shared" si="29"/>
        <v>07</v>
      </c>
      <c r="D303" s="4" t="str">
        <f t="shared" si="30"/>
        <v>Mar</v>
      </c>
      <c r="E303" t="str">
        <f t="shared" si="31"/>
        <v>26</v>
      </c>
      <c r="F303" t="str">
        <f t="shared" si="32"/>
        <v>MR</v>
      </c>
      <c r="G303" t="str">
        <f t="shared" si="33"/>
        <v>26MR07</v>
      </c>
    </row>
    <row r="304" spans="1:7">
      <c r="A304" s="1">
        <f>+'2025'!AC31</f>
        <v>46089</v>
      </c>
      <c r="B304" s="5">
        <f t="shared" si="28"/>
        <v>8</v>
      </c>
      <c r="C304" s="6" t="str">
        <f t="shared" si="29"/>
        <v>08</v>
      </c>
      <c r="D304" s="4" t="str">
        <f t="shared" si="30"/>
        <v>Mar</v>
      </c>
      <c r="E304" t="str">
        <f t="shared" si="31"/>
        <v>26</v>
      </c>
      <c r="F304" t="str">
        <f t="shared" si="32"/>
        <v>MR</v>
      </c>
      <c r="G304" t="str">
        <f t="shared" si="33"/>
        <v>26MR08</v>
      </c>
    </row>
    <row r="305" spans="1:7">
      <c r="A305" s="1">
        <f>+'2025'!AC32</f>
        <v>46090</v>
      </c>
      <c r="B305" s="5">
        <f t="shared" si="28"/>
        <v>9</v>
      </c>
      <c r="C305" s="6" t="str">
        <f t="shared" si="29"/>
        <v>09</v>
      </c>
      <c r="D305" s="4" t="str">
        <f t="shared" si="30"/>
        <v>Mar</v>
      </c>
      <c r="E305" t="str">
        <f t="shared" si="31"/>
        <v>26</v>
      </c>
      <c r="F305" t="str">
        <f t="shared" si="32"/>
        <v>MR</v>
      </c>
      <c r="G305" t="str">
        <f t="shared" si="33"/>
        <v>26MR09</v>
      </c>
    </row>
    <row r="306" spans="1:7">
      <c r="A306" s="1">
        <f>+'2025'!AC33</f>
        <v>46091</v>
      </c>
      <c r="B306" s="5">
        <f t="shared" si="28"/>
        <v>10</v>
      </c>
      <c r="C306" s="6" t="str">
        <f t="shared" si="29"/>
        <v>10</v>
      </c>
      <c r="D306" s="4" t="str">
        <f t="shared" si="30"/>
        <v>Mar</v>
      </c>
      <c r="E306" t="str">
        <f t="shared" si="31"/>
        <v>26</v>
      </c>
      <c r="F306" t="str">
        <f t="shared" si="32"/>
        <v>MR</v>
      </c>
      <c r="G306" t="str">
        <f t="shared" si="33"/>
        <v>26MR10</v>
      </c>
    </row>
    <row r="307" spans="1:7">
      <c r="A307" s="1">
        <f>+'2025'!AF3</f>
        <v>46092</v>
      </c>
      <c r="B307" s="5">
        <f t="shared" si="28"/>
        <v>11</v>
      </c>
      <c r="C307" s="6" t="str">
        <f t="shared" si="29"/>
        <v>11</v>
      </c>
      <c r="D307" s="4" t="str">
        <f t="shared" si="30"/>
        <v>Mar</v>
      </c>
      <c r="E307" t="str">
        <f t="shared" si="31"/>
        <v>26</v>
      </c>
      <c r="F307" t="str">
        <f t="shared" si="32"/>
        <v>MR</v>
      </c>
      <c r="G307" t="str">
        <f t="shared" si="33"/>
        <v>26MR11</v>
      </c>
    </row>
    <row r="308" spans="1:7">
      <c r="A308" s="1">
        <f>+'2025'!AF4</f>
        <v>46093</v>
      </c>
      <c r="B308" s="5">
        <f t="shared" si="28"/>
        <v>12</v>
      </c>
      <c r="C308" s="6" t="str">
        <f t="shared" si="29"/>
        <v>12</v>
      </c>
      <c r="D308" s="4" t="str">
        <f t="shared" si="30"/>
        <v>Mar</v>
      </c>
      <c r="E308" t="str">
        <f t="shared" si="31"/>
        <v>26</v>
      </c>
      <c r="F308" t="str">
        <f t="shared" si="32"/>
        <v>MR</v>
      </c>
      <c r="G308" t="str">
        <f t="shared" si="33"/>
        <v>26MR12</v>
      </c>
    </row>
    <row r="309" spans="1:7">
      <c r="A309" s="1">
        <f>+'2025'!AF5</f>
        <v>46094</v>
      </c>
      <c r="B309" s="5">
        <f t="shared" si="28"/>
        <v>13</v>
      </c>
      <c r="C309" s="6" t="str">
        <f t="shared" si="29"/>
        <v>13</v>
      </c>
      <c r="D309" s="4" t="str">
        <f t="shared" si="30"/>
        <v>Mar</v>
      </c>
      <c r="E309" t="str">
        <f t="shared" si="31"/>
        <v>26</v>
      </c>
      <c r="F309" t="str">
        <f t="shared" si="32"/>
        <v>MR</v>
      </c>
      <c r="G309" t="str">
        <f t="shared" si="33"/>
        <v>26MR13</v>
      </c>
    </row>
    <row r="310" spans="1:7">
      <c r="A310" s="1">
        <f>+'2025'!AF6</f>
        <v>46095</v>
      </c>
      <c r="B310" s="5">
        <f t="shared" si="28"/>
        <v>14</v>
      </c>
      <c r="C310" s="6" t="str">
        <f t="shared" si="29"/>
        <v>14</v>
      </c>
      <c r="D310" s="4" t="str">
        <f t="shared" si="30"/>
        <v>Mar</v>
      </c>
      <c r="E310" t="str">
        <f t="shared" si="31"/>
        <v>26</v>
      </c>
      <c r="F310" t="str">
        <f t="shared" si="32"/>
        <v>MR</v>
      </c>
      <c r="G310" t="str">
        <f t="shared" si="33"/>
        <v>26MR14</v>
      </c>
    </row>
    <row r="311" spans="1:7">
      <c r="A311" s="1">
        <f>+'2025'!AF7</f>
        <v>46096</v>
      </c>
      <c r="B311" s="5">
        <f t="shared" si="28"/>
        <v>15</v>
      </c>
      <c r="C311" s="6" t="str">
        <f t="shared" si="29"/>
        <v>15</v>
      </c>
      <c r="D311" s="4" t="str">
        <f t="shared" si="30"/>
        <v>Mar</v>
      </c>
      <c r="E311" t="str">
        <f t="shared" si="31"/>
        <v>26</v>
      </c>
      <c r="F311" t="str">
        <f t="shared" si="32"/>
        <v>MR</v>
      </c>
      <c r="G311" t="str">
        <f t="shared" si="33"/>
        <v>26MR15</v>
      </c>
    </row>
    <row r="312" spans="1:7">
      <c r="A312" s="1">
        <f>+'2025'!AF8</f>
        <v>46097</v>
      </c>
      <c r="B312" s="5">
        <f t="shared" si="28"/>
        <v>16</v>
      </c>
      <c r="C312" s="6" t="str">
        <f t="shared" si="29"/>
        <v>16</v>
      </c>
      <c r="D312" s="4" t="str">
        <f t="shared" si="30"/>
        <v>Mar</v>
      </c>
      <c r="E312" t="str">
        <f t="shared" si="31"/>
        <v>26</v>
      </c>
      <c r="F312" t="str">
        <f t="shared" si="32"/>
        <v>MR</v>
      </c>
      <c r="G312" t="str">
        <f t="shared" si="33"/>
        <v>26MR16</v>
      </c>
    </row>
    <row r="313" spans="1:7">
      <c r="A313" s="1">
        <f>+'2025'!AF9</f>
        <v>46098</v>
      </c>
      <c r="B313" s="5">
        <f t="shared" si="28"/>
        <v>17</v>
      </c>
      <c r="C313" s="6" t="str">
        <f t="shared" si="29"/>
        <v>17</v>
      </c>
      <c r="D313" s="4" t="str">
        <f t="shared" si="30"/>
        <v>Mar</v>
      </c>
      <c r="E313" t="str">
        <f t="shared" si="31"/>
        <v>26</v>
      </c>
      <c r="F313" t="str">
        <f t="shared" si="32"/>
        <v>MR</v>
      </c>
      <c r="G313" t="str">
        <f t="shared" si="33"/>
        <v>26MR17</v>
      </c>
    </row>
    <row r="314" spans="1:7">
      <c r="A314" s="1">
        <f>+'2025'!AF10</f>
        <v>46099</v>
      </c>
      <c r="B314" s="5">
        <f t="shared" si="28"/>
        <v>18</v>
      </c>
      <c r="C314" s="6" t="str">
        <f t="shared" si="29"/>
        <v>18</v>
      </c>
      <c r="D314" s="4" t="str">
        <f t="shared" si="30"/>
        <v>Mar</v>
      </c>
      <c r="E314" t="str">
        <f t="shared" si="31"/>
        <v>26</v>
      </c>
      <c r="F314" t="str">
        <f t="shared" si="32"/>
        <v>MR</v>
      </c>
      <c r="G314" t="str">
        <f t="shared" si="33"/>
        <v>26MR18</v>
      </c>
    </row>
    <row r="315" spans="1:7">
      <c r="A315" s="1">
        <f>+'2025'!AF11</f>
        <v>46100</v>
      </c>
      <c r="B315" s="5">
        <f t="shared" si="28"/>
        <v>19</v>
      </c>
      <c r="C315" s="6" t="str">
        <f t="shared" si="29"/>
        <v>19</v>
      </c>
      <c r="D315" s="4" t="str">
        <f t="shared" si="30"/>
        <v>Mar</v>
      </c>
      <c r="E315" t="str">
        <f t="shared" si="31"/>
        <v>26</v>
      </c>
      <c r="F315" t="str">
        <f t="shared" si="32"/>
        <v>MR</v>
      </c>
      <c r="G315" t="str">
        <f t="shared" si="33"/>
        <v>26MR19</v>
      </c>
    </row>
    <row r="316" spans="1:7">
      <c r="A316" s="1">
        <f>+'2025'!AF12</f>
        <v>46101</v>
      </c>
      <c r="B316" s="5">
        <f t="shared" si="28"/>
        <v>20</v>
      </c>
      <c r="C316" s="6" t="str">
        <f t="shared" si="29"/>
        <v>20</v>
      </c>
      <c r="D316" s="4" t="str">
        <f t="shared" si="30"/>
        <v>Mar</v>
      </c>
      <c r="E316" t="str">
        <f t="shared" si="31"/>
        <v>26</v>
      </c>
      <c r="F316" t="str">
        <f t="shared" si="32"/>
        <v>MR</v>
      </c>
      <c r="G316" t="str">
        <f t="shared" si="33"/>
        <v>26MR20</v>
      </c>
    </row>
    <row r="317" spans="1:7">
      <c r="A317" s="1">
        <f>+'2025'!AF13</f>
        <v>46102</v>
      </c>
      <c r="B317" s="5">
        <f t="shared" si="28"/>
        <v>21</v>
      </c>
      <c r="C317" s="6" t="str">
        <f t="shared" si="29"/>
        <v>21</v>
      </c>
      <c r="D317" s="4" t="str">
        <f t="shared" si="30"/>
        <v>Mar</v>
      </c>
      <c r="E317" t="str">
        <f t="shared" si="31"/>
        <v>26</v>
      </c>
      <c r="F317" t="str">
        <f t="shared" si="32"/>
        <v>MR</v>
      </c>
      <c r="G317" t="str">
        <f t="shared" si="33"/>
        <v>26MR21</v>
      </c>
    </row>
    <row r="318" spans="1:7">
      <c r="A318" s="1">
        <f>+'2025'!AF14</f>
        <v>46103</v>
      </c>
      <c r="B318" s="5">
        <f t="shared" si="28"/>
        <v>22</v>
      </c>
      <c r="C318" s="6" t="str">
        <f t="shared" si="29"/>
        <v>22</v>
      </c>
      <c r="D318" s="4" t="str">
        <f t="shared" si="30"/>
        <v>Mar</v>
      </c>
      <c r="E318" t="str">
        <f t="shared" si="31"/>
        <v>26</v>
      </c>
      <c r="F318" t="str">
        <f t="shared" si="32"/>
        <v>MR</v>
      </c>
      <c r="G318" t="str">
        <f t="shared" si="33"/>
        <v>26MR22</v>
      </c>
    </row>
    <row r="319" spans="1:7">
      <c r="A319" s="1">
        <f>+'2025'!AF15</f>
        <v>46104</v>
      </c>
      <c r="B319" s="5">
        <f t="shared" si="28"/>
        <v>23</v>
      </c>
      <c r="C319" s="6" t="str">
        <f t="shared" si="29"/>
        <v>23</v>
      </c>
      <c r="D319" s="4" t="str">
        <f t="shared" si="30"/>
        <v>Mar</v>
      </c>
      <c r="E319" t="str">
        <f t="shared" si="31"/>
        <v>26</v>
      </c>
      <c r="F319" t="str">
        <f t="shared" si="32"/>
        <v>MR</v>
      </c>
      <c r="G319" t="str">
        <f t="shared" si="33"/>
        <v>26MR23</v>
      </c>
    </row>
    <row r="320" spans="1:7">
      <c r="A320" s="1">
        <f>+'2025'!AF16</f>
        <v>46105</v>
      </c>
      <c r="B320" s="5">
        <f t="shared" si="28"/>
        <v>24</v>
      </c>
      <c r="C320" s="6" t="str">
        <f t="shared" si="29"/>
        <v>24</v>
      </c>
      <c r="D320" s="4" t="str">
        <f t="shared" si="30"/>
        <v>Mar</v>
      </c>
      <c r="E320" t="str">
        <f t="shared" si="31"/>
        <v>26</v>
      </c>
      <c r="F320" t="str">
        <f t="shared" si="32"/>
        <v>MR</v>
      </c>
      <c r="G320" t="str">
        <f t="shared" si="33"/>
        <v>26MR24</v>
      </c>
    </row>
    <row r="321" spans="1:7">
      <c r="A321" s="1">
        <f>+'2025'!AF17</f>
        <v>46106</v>
      </c>
      <c r="B321" s="5">
        <f t="shared" si="28"/>
        <v>25</v>
      </c>
      <c r="C321" s="6" t="str">
        <f t="shared" si="29"/>
        <v>25</v>
      </c>
      <c r="D321" s="4" t="str">
        <f t="shared" si="30"/>
        <v>Mar</v>
      </c>
      <c r="E321" t="str">
        <f t="shared" si="31"/>
        <v>26</v>
      </c>
      <c r="F321" t="str">
        <f t="shared" si="32"/>
        <v>MR</v>
      </c>
      <c r="G321" t="str">
        <f t="shared" si="33"/>
        <v>26MR25</v>
      </c>
    </row>
    <row r="322" spans="1:7">
      <c r="A322" s="1">
        <f>+'2025'!AF18</f>
        <v>46107</v>
      </c>
      <c r="B322" s="5">
        <f t="shared" si="28"/>
        <v>26</v>
      </c>
      <c r="C322" s="6" t="str">
        <f t="shared" si="29"/>
        <v>26</v>
      </c>
      <c r="D322" s="4" t="str">
        <f t="shared" si="30"/>
        <v>Mar</v>
      </c>
      <c r="E322" t="str">
        <f t="shared" si="31"/>
        <v>26</v>
      </c>
      <c r="F322" t="str">
        <f t="shared" si="32"/>
        <v>MR</v>
      </c>
      <c r="G322" t="str">
        <f t="shared" si="33"/>
        <v>26MR26</v>
      </c>
    </row>
    <row r="323" spans="1:7">
      <c r="A323" s="1">
        <f>+'2025'!AF19</f>
        <v>46108</v>
      </c>
      <c r="B323" s="5">
        <f t="shared" si="28"/>
        <v>27</v>
      </c>
      <c r="C323" s="6" t="str">
        <f t="shared" si="29"/>
        <v>27</v>
      </c>
      <c r="D323" s="4" t="str">
        <f t="shared" si="30"/>
        <v>Mar</v>
      </c>
      <c r="E323" t="str">
        <f t="shared" si="31"/>
        <v>26</v>
      </c>
      <c r="F323" t="str">
        <f t="shared" si="32"/>
        <v>MR</v>
      </c>
      <c r="G323" t="str">
        <f t="shared" si="33"/>
        <v>26MR27</v>
      </c>
    </row>
    <row r="324" spans="1:7">
      <c r="A324" s="1">
        <f>+'2025'!AF20</f>
        <v>46109</v>
      </c>
      <c r="B324" s="5">
        <f t="shared" ref="B324:B367" si="34">DAY(A324)</f>
        <v>28</v>
      </c>
      <c r="C324" s="6" t="str">
        <f t="shared" ref="C324:C367" si="35">TEXT(B324,"00")</f>
        <v>28</v>
      </c>
      <c r="D324" s="4" t="str">
        <f t="shared" si="30"/>
        <v>Mar</v>
      </c>
      <c r="E324" t="str">
        <f t="shared" si="31"/>
        <v>26</v>
      </c>
      <c r="F324" t="str">
        <f t="shared" si="32"/>
        <v>MR</v>
      </c>
      <c r="G324" t="str">
        <f t="shared" si="33"/>
        <v>26MR28</v>
      </c>
    </row>
    <row r="325" spans="1:7">
      <c r="A325" s="1">
        <f>+'2025'!AF21</f>
        <v>46110</v>
      </c>
      <c r="B325" s="5">
        <f t="shared" si="34"/>
        <v>29</v>
      </c>
      <c r="C325" s="6" t="str">
        <f t="shared" si="35"/>
        <v>29</v>
      </c>
      <c r="D325" s="4" t="str">
        <f t="shared" si="30"/>
        <v>Mar</v>
      </c>
      <c r="E325" t="str">
        <f t="shared" si="31"/>
        <v>26</v>
      </c>
      <c r="F325" t="str">
        <f t="shared" si="32"/>
        <v>MR</v>
      </c>
      <c r="G325" t="str">
        <f t="shared" si="33"/>
        <v>26MR29</v>
      </c>
    </row>
    <row r="326" spans="1:7">
      <c r="A326" s="1">
        <f>+'2025'!AF22</f>
        <v>46111</v>
      </c>
      <c r="B326" s="5">
        <f t="shared" si="34"/>
        <v>30</v>
      </c>
      <c r="C326" s="6" t="str">
        <f t="shared" si="35"/>
        <v>30</v>
      </c>
      <c r="D326" s="4" t="str">
        <f t="shared" si="30"/>
        <v>Mar</v>
      </c>
      <c r="E326" t="str">
        <f t="shared" si="31"/>
        <v>26</v>
      </c>
      <c r="F326" t="str">
        <f t="shared" si="32"/>
        <v>MR</v>
      </c>
      <c r="G326" t="str">
        <f t="shared" si="33"/>
        <v>26MR30</v>
      </c>
    </row>
    <row r="327" spans="1:7">
      <c r="A327" s="1">
        <f>+'2025'!AF23</f>
        <v>46112</v>
      </c>
      <c r="B327" s="5">
        <f t="shared" si="34"/>
        <v>31</v>
      </c>
      <c r="C327" s="6" t="str">
        <f t="shared" si="35"/>
        <v>31</v>
      </c>
      <c r="D327" s="4" t="str">
        <f t="shared" si="30"/>
        <v>Mar</v>
      </c>
      <c r="E327" t="str">
        <f t="shared" si="31"/>
        <v>26</v>
      </c>
      <c r="F327" t="str">
        <f t="shared" si="32"/>
        <v>MR</v>
      </c>
      <c r="G327" t="str">
        <f t="shared" si="33"/>
        <v>26MR31</v>
      </c>
    </row>
    <row r="328" spans="1:7">
      <c r="A328" s="1">
        <f>+'2025'!AF24</f>
        <v>46113</v>
      </c>
      <c r="B328" s="5">
        <f t="shared" si="34"/>
        <v>1</v>
      </c>
      <c r="C328" s="6" t="str">
        <f t="shared" si="35"/>
        <v>01</v>
      </c>
      <c r="D328" s="4" t="str">
        <f t="shared" si="30"/>
        <v>Apr</v>
      </c>
      <c r="E328" t="str">
        <f t="shared" si="31"/>
        <v>26</v>
      </c>
      <c r="F328" t="str">
        <f t="shared" si="32"/>
        <v>AL</v>
      </c>
      <c r="G328" t="str">
        <f t="shared" si="33"/>
        <v>26AL01</v>
      </c>
    </row>
    <row r="329" spans="1:7">
      <c r="A329" s="1">
        <f>+'2025'!AF25</f>
        <v>46114</v>
      </c>
      <c r="B329" s="5">
        <f t="shared" si="34"/>
        <v>2</v>
      </c>
      <c r="C329" s="6" t="str">
        <f t="shared" si="35"/>
        <v>02</v>
      </c>
      <c r="D329" s="4" t="str">
        <f t="shared" si="30"/>
        <v>Apr</v>
      </c>
      <c r="E329" t="str">
        <f t="shared" si="31"/>
        <v>26</v>
      </c>
      <c r="F329" t="str">
        <f t="shared" si="32"/>
        <v>AL</v>
      </c>
      <c r="G329" t="str">
        <f t="shared" si="33"/>
        <v>26AL02</v>
      </c>
    </row>
    <row r="330" spans="1:7">
      <c r="A330" s="1">
        <f>+'2025'!AF26</f>
        <v>46115</v>
      </c>
      <c r="B330" s="5">
        <f t="shared" si="34"/>
        <v>3</v>
      </c>
      <c r="C330" s="6" t="str">
        <f t="shared" si="35"/>
        <v>03</v>
      </c>
      <c r="D330" s="4" t="str">
        <f t="shared" si="30"/>
        <v>Apr</v>
      </c>
      <c r="E330" t="str">
        <f t="shared" si="31"/>
        <v>26</v>
      </c>
      <c r="F330" t="str">
        <f t="shared" si="32"/>
        <v>AL</v>
      </c>
      <c r="G330" t="str">
        <f t="shared" si="33"/>
        <v>26AL03</v>
      </c>
    </row>
    <row r="331" spans="1:7">
      <c r="A331" s="1">
        <f>+'2025'!AF27</f>
        <v>46116</v>
      </c>
      <c r="B331" s="5">
        <f t="shared" si="34"/>
        <v>4</v>
      </c>
      <c r="C331" s="6" t="str">
        <f t="shared" si="35"/>
        <v>04</v>
      </c>
      <c r="D331" s="4" t="str">
        <f t="shared" si="30"/>
        <v>Apr</v>
      </c>
      <c r="E331" t="str">
        <f t="shared" si="31"/>
        <v>26</v>
      </c>
      <c r="F331" t="str">
        <f t="shared" si="32"/>
        <v>AL</v>
      </c>
      <c r="G331" t="str">
        <f t="shared" si="33"/>
        <v>26AL04</v>
      </c>
    </row>
    <row r="332" spans="1:7">
      <c r="A332" s="1">
        <f>+'2025'!AF28</f>
        <v>46117</v>
      </c>
      <c r="B332" s="5">
        <f t="shared" si="34"/>
        <v>5</v>
      </c>
      <c r="C332" s="6" t="str">
        <f t="shared" si="35"/>
        <v>05</v>
      </c>
      <c r="D332" s="4" t="str">
        <f t="shared" si="30"/>
        <v>Apr</v>
      </c>
      <c r="E332" t="str">
        <f t="shared" si="31"/>
        <v>26</v>
      </c>
      <c r="F332" t="str">
        <f t="shared" si="32"/>
        <v>AL</v>
      </c>
      <c r="G332" t="str">
        <f t="shared" si="33"/>
        <v>26AL05</v>
      </c>
    </row>
    <row r="333" spans="1:7">
      <c r="A333" s="1">
        <f>+'2025'!AF29</f>
        <v>46118</v>
      </c>
      <c r="B333" s="5">
        <f t="shared" si="34"/>
        <v>6</v>
      </c>
      <c r="C333" s="6" t="str">
        <f t="shared" si="35"/>
        <v>06</v>
      </c>
      <c r="D333" s="4" t="str">
        <f t="shared" si="30"/>
        <v>Apr</v>
      </c>
      <c r="E333" t="str">
        <f t="shared" si="31"/>
        <v>26</v>
      </c>
      <c r="F333" t="str">
        <f t="shared" si="32"/>
        <v>AL</v>
      </c>
      <c r="G333" t="str">
        <f t="shared" si="33"/>
        <v>26AL06</v>
      </c>
    </row>
    <row r="334" spans="1:7">
      <c r="A334" s="1">
        <f>+'2025'!AF30</f>
        <v>46119</v>
      </c>
      <c r="B334" s="5">
        <f t="shared" si="34"/>
        <v>7</v>
      </c>
      <c r="C334" s="6" t="str">
        <f t="shared" si="35"/>
        <v>07</v>
      </c>
      <c r="D334" s="4" t="str">
        <f t="shared" si="30"/>
        <v>Apr</v>
      </c>
      <c r="E334" t="str">
        <f t="shared" si="31"/>
        <v>26</v>
      </c>
      <c r="F334" t="str">
        <f t="shared" si="32"/>
        <v>AL</v>
      </c>
      <c r="G334" t="str">
        <f t="shared" si="33"/>
        <v>26AL07</v>
      </c>
    </row>
    <row r="335" spans="1:7">
      <c r="A335" s="1">
        <f>+'2025'!AF31</f>
        <v>46120</v>
      </c>
      <c r="B335" s="5">
        <f t="shared" si="34"/>
        <v>8</v>
      </c>
      <c r="C335" s="6" t="str">
        <f t="shared" si="35"/>
        <v>08</v>
      </c>
      <c r="D335" s="4" t="str">
        <f t="shared" si="30"/>
        <v>Apr</v>
      </c>
      <c r="E335" t="str">
        <f t="shared" si="31"/>
        <v>26</v>
      </c>
      <c r="F335" t="str">
        <f t="shared" si="32"/>
        <v>AL</v>
      </c>
      <c r="G335" t="str">
        <f t="shared" si="33"/>
        <v>26AL08</v>
      </c>
    </row>
    <row r="336" spans="1:7">
      <c r="A336" s="1">
        <f>+'2025'!AF32</f>
        <v>46121</v>
      </c>
      <c r="B336" s="5">
        <f t="shared" si="34"/>
        <v>9</v>
      </c>
      <c r="C336" s="6" t="str">
        <f t="shared" si="35"/>
        <v>09</v>
      </c>
      <c r="D336" s="4" t="str">
        <f t="shared" si="30"/>
        <v>Apr</v>
      </c>
      <c r="E336" t="str">
        <f t="shared" si="31"/>
        <v>26</v>
      </c>
      <c r="F336" t="str">
        <f t="shared" si="32"/>
        <v>AL</v>
      </c>
      <c r="G336" t="str">
        <f t="shared" si="33"/>
        <v>26AL09</v>
      </c>
    </row>
    <row r="337" spans="1:7">
      <c r="A337" s="1">
        <f>+'2025'!AI3</f>
        <v>46122</v>
      </c>
      <c r="B337" s="5">
        <f t="shared" si="34"/>
        <v>10</v>
      </c>
      <c r="C337" s="6" t="str">
        <f t="shared" si="35"/>
        <v>10</v>
      </c>
      <c r="D337" s="4" t="str">
        <f t="shared" si="30"/>
        <v>Apr</v>
      </c>
      <c r="E337" t="str">
        <f t="shared" si="31"/>
        <v>26</v>
      </c>
      <c r="F337" t="str">
        <f t="shared" si="32"/>
        <v>AL</v>
      </c>
      <c r="G337" t="str">
        <f t="shared" si="33"/>
        <v>26AL10</v>
      </c>
    </row>
    <row r="338" spans="1:7">
      <c r="A338" s="1">
        <f>+'2025'!AI4</f>
        <v>46123</v>
      </c>
      <c r="B338" s="5">
        <f t="shared" si="34"/>
        <v>11</v>
      </c>
      <c r="C338" s="6" t="str">
        <f t="shared" si="35"/>
        <v>11</v>
      </c>
      <c r="D338" s="4" t="str">
        <f t="shared" si="30"/>
        <v>Apr</v>
      </c>
      <c r="E338" t="str">
        <f t="shared" si="31"/>
        <v>26</v>
      </c>
      <c r="F338" t="str">
        <f t="shared" si="32"/>
        <v>AL</v>
      </c>
      <c r="G338" t="str">
        <f t="shared" si="33"/>
        <v>26AL11</v>
      </c>
    </row>
    <row r="339" spans="1:7">
      <c r="A339" s="1">
        <f>+'2025'!AI5</f>
        <v>46124</v>
      </c>
      <c r="B339" s="5">
        <f t="shared" si="34"/>
        <v>12</v>
      </c>
      <c r="C339" s="6" t="str">
        <f t="shared" si="35"/>
        <v>12</v>
      </c>
      <c r="D339" s="4" t="str">
        <f t="shared" ref="D339:D367" si="36">+TEXT(A339,"mmm")</f>
        <v>Apr</v>
      </c>
      <c r="E339" t="str">
        <f t="shared" ref="E339:E367" si="37">+TEXT(A339,"yy")</f>
        <v>26</v>
      </c>
      <c r="F339" t="str">
        <f t="shared" ref="F339:F367" si="38">VLOOKUP(D339,$I$3:$J$14,2,FALSE)</f>
        <v>AL</v>
      </c>
      <c r="G339" t="str">
        <f t="shared" ref="G339:G367" si="39">+E339&amp;F339&amp;C339</f>
        <v>26AL12</v>
      </c>
    </row>
    <row r="340" spans="1:7">
      <c r="A340" s="1">
        <f>+'2025'!AI6</f>
        <v>46125</v>
      </c>
      <c r="B340" s="5">
        <f t="shared" si="34"/>
        <v>13</v>
      </c>
      <c r="C340" s="6" t="str">
        <f t="shared" si="35"/>
        <v>13</v>
      </c>
      <c r="D340" s="4" t="str">
        <f t="shared" si="36"/>
        <v>Apr</v>
      </c>
      <c r="E340" t="str">
        <f t="shared" si="37"/>
        <v>26</v>
      </c>
      <c r="F340" t="str">
        <f t="shared" si="38"/>
        <v>AL</v>
      </c>
      <c r="G340" t="str">
        <f t="shared" si="39"/>
        <v>26AL13</v>
      </c>
    </row>
    <row r="341" spans="1:7">
      <c r="A341" s="1">
        <f>+'2025'!AI7</f>
        <v>46126</v>
      </c>
      <c r="B341" s="5">
        <f t="shared" si="34"/>
        <v>14</v>
      </c>
      <c r="C341" s="6" t="str">
        <f t="shared" si="35"/>
        <v>14</v>
      </c>
      <c r="D341" s="4" t="str">
        <f t="shared" si="36"/>
        <v>Apr</v>
      </c>
      <c r="E341" t="str">
        <f t="shared" si="37"/>
        <v>26</v>
      </c>
      <c r="F341" t="str">
        <f t="shared" si="38"/>
        <v>AL</v>
      </c>
      <c r="G341" t="str">
        <f t="shared" si="39"/>
        <v>26AL14</v>
      </c>
    </row>
    <row r="342" spans="1:7">
      <c r="A342" s="1">
        <f>+'2025'!AI8</f>
        <v>46127</v>
      </c>
      <c r="B342" s="5">
        <f t="shared" si="34"/>
        <v>15</v>
      </c>
      <c r="C342" s="6" t="str">
        <f t="shared" si="35"/>
        <v>15</v>
      </c>
      <c r="D342" s="4" t="str">
        <f t="shared" si="36"/>
        <v>Apr</v>
      </c>
      <c r="E342" t="str">
        <f t="shared" si="37"/>
        <v>26</v>
      </c>
      <c r="F342" t="str">
        <f t="shared" si="38"/>
        <v>AL</v>
      </c>
      <c r="G342" t="str">
        <f t="shared" si="39"/>
        <v>26AL15</v>
      </c>
    </row>
    <row r="343" spans="1:7">
      <c r="A343" s="1">
        <f>+'2025'!AI9</f>
        <v>46128</v>
      </c>
      <c r="B343" s="5">
        <f t="shared" si="34"/>
        <v>16</v>
      </c>
      <c r="C343" s="6" t="str">
        <f t="shared" si="35"/>
        <v>16</v>
      </c>
      <c r="D343" s="4" t="str">
        <f t="shared" si="36"/>
        <v>Apr</v>
      </c>
      <c r="E343" t="str">
        <f t="shared" si="37"/>
        <v>26</v>
      </c>
      <c r="F343" t="str">
        <f t="shared" si="38"/>
        <v>AL</v>
      </c>
      <c r="G343" t="str">
        <f t="shared" si="39"/>
        <v>26AL16</v>
      </c>
    </row>
    <row r="344" spans="1:7">
      <c r="A344" s="1">
        <f>+'2025'!AI10</f>
        <v>46129</v>
      </c>
      <c r="B344" s="5">
        <f t="shared" si="34"/>
        <v>17</v>
      </c>
      <c r="C344" s="6" t="str">
        <f t="shared" si="35"/>
        <v>17</v>
      </c>
      <c r="D344" s="4" t="str">
        <f t="shared" si="36"/>
        <v>Apr</v>
      </c>
      <c r="E344" t="str">
        <f t="shared" si="37"/>
        <v>26</v>
      </c>
      <c r="F344" t="str">
        <f t="shared" si="38"/>
        <v>AL</v>
      </c>
      <c r="G344" t="str">
        <f t="shared" si="39"/>
        <v>26AL17</v>
      </c>
    </row>
    <row r="345" spans="1:7">
      <c r="A345" s="1">
        <f>+'2025'!AI11</f>
        <v>46130</v>
      </c>
      <c r="B345" s="5">
        <f t="shared" si="34"/>
        <v>18</v>
      </c>
      <c r="C345" s="6" t="str">
        <f t="shared" si="35"/>
        <v>18</v>
      </c>
      <c r="D345" s="4" t="str">
        <f t="shared" si="36"/>
        <v>Apr</v>
      </c>
      <c r="E345" t="str">
        <f t="shared" si="37"/>
        <v>26</v>
      </c>
      <c r="F345" t="str">
        <f t="shared" si="38"/>
        <v>AL</v>
      </c>
      <c r="G345" t="str">
        <f t="shared" si="39"/>
        <v>26AL18</v>
      </c>
    </row>
    <row r="346" spans="1:7">
      <c r="A346" s="1">
        <f>+'2025'!AI12</f>
        <v>46131</v>
      </c>
      <c r="B346" s="5">
        <f t="shared" si="34"/>
        <v>19</v>
      </c>
      <c r="C346" s="6" t="str">
        <f t="shared" si="35"/>
        <v>19</v>
      </c>
      <c r="D346" s="4" t="str">
        <f t="shared" si="36"/>
        <v>Apr</v>
      </c>
      <c r="E346" t="str">
        <f t="shared" si="37"/>
        <v>26</v>
      </c>
      <c r="F346" t="str">
        <f t="shared" si="38"/>
        <v>AL</v>
      </c>
      <c r="G346" t="str">
        <f t="shared" si="39"/>
        <v>26AL19</v>
      </c>
    </row>
    <row r="347" spans="1:7">
      <c r="A347" s="1">
        <f>+'2025'!AI13</f>
        <v>46132</v>
      </c>
      <c r="B347" s="5">
        <f t="shared" si="34"/>
        <v>20</v>
      </c>
      <c r="C347" s="6" t="str">
        <f t="shared" si="35"/>
        <v>20</v>
      </c>
      <c r="D347" s="4" t="str">
        <f t="shared" si="36"/>
        <v>Apr</v>
      </c>
      <c r="E347" t="str">
        <f t="shared" si="37"/>
        <v>26</v>
      </c>
      <c r="F347" t="str">
        <f t="shared" si="38"/>
        <v>AL</v>
      </c>
      <c r="G347" t="str">
        <f t="shared" si="39"/>
        <v>26AL20</v>
      </c>
    </row>
    <row r="348" spans="1:7">
      <c r="A348" s="1">
        <f>+'2025'!AI14</f>
        <v>46133</v>
      </c>
      <c r="B348" s="5">
        <f t="shared" si="34"/>
        <v>21</v>
      </c>
      <c r="C348" s="6" t="str">
        <f t="shared" si="35"/>
        <v>21</v>
      </c>
      <c r="D348" s="4" t="str">
        <f t="shared" si="36"/>
        <v>Apr</v>
      </c>
      <c r="E348" t="str">
        <f t="shared" si="37"/>
        <v>26</v>
      </c>
      <c r="F348" t="str">
        <f t="shared" si="38"/>
        <v>AL</v>
      </c>
      <c r="G348" t="str">
        <f t="shared" si="39"/>
        <v>26AL21</v>
      </c>
    </row>
    <row r="349" spans="1:7">
      <c r="A349" s="1">
        <f>+'2025'!AI15</f>
        <v>46134</v>
      </c>
      <c r="B349" s="5">
        <f t="shared" si="34"/>
        <v>22</v>
      </c>
      <c r="C349" s="6" t="str">
        <f t="shared" si="35"/>
        <v>22</v>
      </c>
      <c r="D349" s="4" t="str">
        <f t="shared" si="36"/>
        <v>Apr</v>
      </c>
      <c r="E349" t="str">
        <f t="shared" si="37"/>
        <v>26</v>
      </c>
      <c r="F349" t="str">
        <f t="shared" si="38"/>
        <v>AL</v>
      </c>
      <c r="G349" t="str">
        <f t="shared" si="39"/>
        <v>26AL22</v>
      </c>
    </row>
    <row r="350" spans="1:7">
      <c r="A350" s="1">
        <f>+'2025'!AI16</f>
        <v>46135</v>
      </c>
      <c r="B350" s="5">
        <f t="shared" si="34"/>
        <v>23</v>
      </c>
      <c r="C350" s="6" t="str">
        <f t="shared" si="35"/>
        <v>23</v>
      </c>
      <c r="D350" s="4" t="str">
        <f t="shared" si="36"/>
        <v>Apr</v>
      </c>
      <c r="E350" t="str">
        <f t="shared" si="37"/>
        <v>26</v>
      </c>
      <c r="F350" t="str">
        <f t="shared" si="38"/>
        <v>AL</v>
      </c>
      <c r="G350" t="str">
        <f t="shared" si="39"/>
        <v>26AL23</v>
      </c>
    </row>
    <row r="351" spans="1:7">
      <c r="A351" s="1">
        <f>+'2025'!AI17</f>
        <v>46136</v>
      </c>
      <c r="B351" s="5">
        <f t="shared" si="34"/>
        <v>24</v>
      </c>
      <c r="C351" s="6" t="str">
        <f t="shared" si="35"/>
        <v>24</v>
      </c>
      <c r="D351" s="4" t="str">
        <f t="shared" si="36"/>
        <v>Apr</v>
      </c>
      <c r="E351" t="str">
        <f t="shared" si="37"/>
        <v>26</v>
      </c>
      <c r="F351" t="str">
        <f t="shared" si="38"/>
        <v>AL</v>
      </c>
      <c r="G351" t="str">
        <f t="shared" si="39"/>
        <v>26AL24</v>
      </c>
    </row>
    <row r="352" spans="1:7">
      <c r="A352" s="1">
        <f>+'2025'!AI18</f>
        <v>46137</v>
      </c>
      <c r="B352" s="5">
        <f t="shared" si="34"/>
        <v>25</v>
      </c>
      <c r="C352" s="6" t="str">
        <f t="shared" si="35"/>
        <v>25</v>
      </c>
      <c r="D352" s="4" t="str">
        <f t="shared" si="36"/>
        <v>Apr</v>
      </c>
      <c r="E352" t="str">
        <f t="shared" si="37"/>
        <v>26</v>
      </c>
      <c r="F352" t="str">
        <f t="shared" si="38"/>
        <v>AL</v>
      </c>
      <c r="G352" t="str">
        <f t="shared" si="39"/>
        <v>26AL25</v>
      </c>
    </row>
    <row r="353" spans="1:7">
      <c r="A353" s="1">
        <f>+'2025'!AI19</f>
        <v>46138</v>
      </c>
      <c r="B353" s="5">
        <f t="shared" si="34"/>
        <v>26</v>
      </c>
      <c r="C353" s="6" t="str">
        <f t="shared" si="35"/>
        <v>26</v>
      </c>
      <c r="D353" s="4" t="str">
        <f t="shared" si="36"/>
        <v>Apr</v>
      </c>
      <c r="E353" t="str">
        <f t="shared" si="37"/>
        <v>26</v>
      </c>
      <c r="F353" t="str">
        <f t="shared" si="38"/>
        <v>AL</v>
      </c>
      <c r="G353" t="str">
        <f t="shared" si="39"/>
        <v>26AL26</v>
      </c>
    </row>
    <row r="354" spans="1:7">
      <c r="A354" s="1">
        <f>+'2025'!AI20</f>
        <v>46139</v>
      </c>
      <c r="B354" s="5">
        <f t="shared" si="34"/>
        <v>27</v>
      </c>
      <c r="C354" s="6" t="str">
        <f t="shared" si="35"/>
        <v>27</v>
      </c>
      <c r="D354" s="4" t="str">
        <f t="shared" si="36"/>
        <v>Apr</v>
      </c>
      <c r="E354" t="str">
        <f t="shared" si="37"/>
        <v>26</v>
      </c>
      <c r="F354" t="str">
        <f t="shared" si="38"/>
        <v>AL</v>
      </c>
      <c r="G354" t="str">
        <f t="shared" si="39"/>
        <v>26AL27</v>
      </c>
    </row>
    <row r="355" spans="1:7">
      <c r="A355" s="1">
        <f>+'2025'!AI21</f>
        <v>46140</v>
      </c>
      <c r="B355" s="5">
        <f t="shared" si="34"/>
        <v>28</v>
      </c>
      <c r="C355" s="6" t="str">
        <f t="shared" si="35"/>
        <v>28</v>
      </c>
      <c r="D355" s="4" t="str">
        <f t="shared" si="36"/>
        <v>Apr</v>
      </c>
      <c r="E355" t="str">
        <f t="shared" si="37"/>
        <v>26</v>
      </c>
      <c r="F355" t="str">
        <f t="shared" si="38"/>
        <v>AL</v>
      </c>
      <c r="G355" t="str">
        <f t="shared" si="39"/>
        <v>26AL28</v>
      </c>
    </row>
    <row r="356" spans="1:7">
      <c r="A356" s="1">
        <f>+'2025'!AI22</f>
        <v>46141</v>
      </c>
      <c r="B356" s="5">
        <f t="shared" si="34"/>
        <v>29</v>
      </c>
      <c r="C356" s="6" t="str">
        <f t="shared" si="35"/>
        <v>29</v>
      </c>
      <c r="D356" s="4" t="str">
        <f t="shared" si="36"/>
        <v>Apr</v>
      </c>
      <c r="E356" t="str">
        <f t="shared" si="37"/>
        <v>26</v>
      </c>
      <c r="F356" t="str">
        <f t="shared" si="38"/>
        <v>AL</v>
      </c>
      <c r="G356" t="str">
        <f t="shared" si="39"/>
        <v>26AL29</v>
      </c>
    </row>
    <row r="357" spans="1:7">
      <c r="A357" s="1">
        <f>+'2025'!AI23</f>
        <v>46142</v>
      </c>
      <c r="B357" s="5">
        <f t="shared" si="34"/>
        <v>30</v>
      </c>
      <c r="C357" s="6" t="str">
        <f t="shared" si="35"/>
        <v>30</v>
      </c>
      <c r="D357" s="4" t="str">
        <f t="shared" si="36"/>
        <v>Apr</v>
      </c>
      <c r="E357" t="str">
        <f t="shared" si="37"/>
        <v>26</v>
      </c>
      <c r="F357" t="str">
        <f t="shared" si="38"/>
        <v>AL</v>
      </c>
      <c r="G357" t="str">
        <f t="shared" si="39"/>
        <v>26AL30</v>
      </c>
    </row>
    <row r="358" spans="1:7">
      <c r="A358" s="1">
        <f>+'2025'!AI24</f>
        <v>46143</v>
      </c>
      <c r="B358" s="5">
        <f t="shared" si="34"/>
        <v>1</v>
      </c>
      <c r="C358" s="6" t="str">
        <f t="shared" si="35"/>
        <v>01</v>
      </c>
      <c r="D358" s="4" t="str">
        <f t="shared" si="36"/>
        <v>May</v>
      </c>
      <c r="E358" t="str">
        <f t="shared" si="37"/>
        <v>26</v>
      </c>
      <c r="F358" t="str">
        <f t="shared" si="38"/>
        <v>MA</v>
      </c>
      <c r="G358" t="str">
        <f t="shared" si="39"/>
        <v>26MA01</v>
      </c>
    </row>
    <row r="359" spans="1:7">
      <c r="A359" s="1">
        <f>+'2025'!AI25</f>
        <v>46144</v>
      </c>
      <c r="B359" s="5">
        <f t="shared" si="34"/>
        <v>2</v>
      </c>
      <c r="C359" s="6" t="str">
        <f t="shared" si="35"/>
        <v>02</v>
      </c>
      <c r="D359" s="4" t="str">
        <f t="shared" si="36"/>
        <v>May</v>
      </c>
      <c r="E359" t="str">
        <f t="shared" si="37"/>
        <v>26</v>
      </c>
      <c r="F359" t="str">
        <f t="shared" si="38"/>
        <v>MA</v>
      </c>
      <c r="G359" t="str">
        <f t="shared" si="39"/>
        <v>26MA02</v>
      </c>
    </row>
    <row r="360" spans="1:7">
      <c r="A360" s="1">
        <f>+'2025'!AI26</f>
        <v>46145</v>
      </c>
      <c r="B360" s="5">
        <f t="shared" si="34"/>
        <v>3</v>
      </c>
      <c r="C360" s="6" t="str">
        <f t="shared" si="35"/>
        <v>03</v>
      </c>
      <c r="D360" s="4" t="str">
        <f t="shared" si="36"/>
        <v>May</v>
      </c>
      <c r="E360" t="str">
        <f t="shared" si="37"/>
        <v>26</v>
      </c>
      <c r="F360" t="str">
        <f t="shared" si="38"/>
        <v>MA</v>
      </c>
      <c r="G360" t="str">
        <f t="shared" si="39"/>
        <v>26MA03</v>
      </c>
    </row>
    <row r="361" spans="1:7">
      <c r="A361" s="1">
        <f>+'2025'!AI27</f>
        <v>46146</v>
      </c>
      <c r="B361" s="5">
        <f t="shared" si="34"/>
        <v>4</v>
      </c>
      <c r="C361" s="6" t="str">
        <f t="shared" si="35"/>
        <v>04</v>
      </c>
      <c r="D361" s="4" t="str">
        <f t="shared" si="36"/>
        <v>May</v>
      </c>
      <c r="E361" t="str">
        <f t="shared" si="37"/>
        <v>26</v>
      </c>
      <c r="F361" t="str">
        <f t="shared" si="38"/>
        <v>MA</v>
      </c>
      <c r="G361" t="str">
        <f t="shared" si="39"/>
        <v>26MA04</v>
      </c>
    </row>
    <row r="362" spans="1:7">
      <c r="A362" s="1">
        <f>+'2025'!AI28</f>
        <v>46147</v>
      </c>
      <c r="B362" s="5">
        <f t="shared" si="34"/>
        <v>5</v>
      </c>
      <c r="C362" s="6" t="str">
        <f t="shared" si="35"/>
        <v>05</v>
      </c>
      <c r="D362" s="4" t="str">
        <f t="shared" si="36"/>
        <v>May</v>
      </c>
      <c r="E362" t="str">
        <f t="shared" si="37"/>
        <v>26</v>
      </c>
      <c r="F362" t="str">
        <f t="shared" si="38"/>
        <v>MA</v>
      </c>
      <c r="G362" t="str">
        <f t="shared" si="39"/>
        <v>26MA05</v>
      </c>
    </row>
    <row r="363" spans="1:7">
      <c r="A363" s="1">
        <f>+'2025'!AI29</f>
        <v>46148</v>
      </c>
      <c r="B363" s="5">
        <f t="shared" si="34"/>
        <v>6</v>
      </c>
      <c r="C363" s="6" t="str">
        <f t="shared" si="35"/>
        <v>06</v>
      </c>
      <c r="D363" s="4" t="str">
        <f t="shared" si="36"/>
        <v>May</v>
      </c>
      <c r="E363" t="str">
        <f t="shared" si="37"/>
        <v>26</v>
      </c>
      <c r="F363" t="str">
        <f t="shared" si="38"/>
        <v>MA</v>
      </c>
      <c r="G363" t="str">
        <f t="shared" si="39"/>
        <v>26MA06</v>
      </c>
    </row>
    <row r="364" spans="1:7">
      <c r="A364" s="1">
        <f>+'2025'!AI30</f>
        <v>46149</v>
      </c>
      <c r="B364" s="5">
        <f t="shared" si="34"/>
        <v>7</v>
      </c>
      <c r="C364" s="6" t="str">
        <f t="shared" si="35"/>
        <v>07</v>
      </c>
      <c r="D364" s="4" t="str">
        <f t="shared" si="36"/>
        <v>May</v>
      </c>
      <c r="E364" t="str">
        <f t="shared" si="37"/>
        <v>26</v>
      </c>
      <c r="F364" t="str">
        <f t="shared" si="38"/>
        <v>MA</v>
      </c>
      <c r="G364" t="str">
        <f t="shared" si="39"/>
        <v>26MA07</v>
      </c>
    </row>
    <row r="365" spans="1:7">
      <c r="A365" s="1">
        <f>+'2025'!AI31</f>
        <v>46150</v>
      </c>
      <c r="B365" s="5">
        <f t="shared" si="34"/>
        <v>8</v>
      </c>
      <c r="C365" s="6" t="str">
        <f t="shared" si="35"/>
        <v>08</v>
      </c>
      <c r="D365" s="4" t="str">
        <f t="shared" si="36"/>
        <v>May</v>
      </c>
      <c r="E365" t="str">
        <f t="shared" si="37"/>
        <v>26</v>
      </c>
      <c r="F365" t="str">
        <f t="shared" si="38"/>
        <v>MA</v>
      </c>
      <c r="G365" t="str">
        <f t="shared" si="39"/>
        <v>26MA08</v>
      </c>
    </row>
    <row r="366" spans="1:7">
      <c r="A366" s="1">
        <f>+'2025'!AI32</f>
        <v>46151</v>
      </c>
      <c r="B366" s="5">
        <f t="shared" si="34"/>
        <v>9</v>
      </c>
      <c r="C366" s="6" t="str">
        <f t="shared" si="35"/>
        <v>09</v>
      </c>
      <c r="D366" s="4" t="str">
        <f t="shared" si="36"/>
        <v>May</v>
      </c>
      <c r="E366" t="str">
        <f t="shared" si="37"/>
        <v>26</v>
      </c>
      <c r="F366" t="str">
        <f t="shared" si="38"/>
        <v>MA</v>
      </c>
      <c r="G366" t="str">
        <f t="shared" si="39"/>
        <v>26MA09</v>
      </c>
    </row>
    <row r="367" spans="1:7">
      <c r="A367" s="1">
        <f>+'2025'!AI33</f>
        <v>46152</v>
      </c>
      <c r="B367" s="5">
        <f t="shared" si="34"/>
        <v>10</v>
      </c>
      <c r="C367" s="6" t="str">
        <f t="shared" si="35"/>
        <v>10</v>
      </c>
      <c r="D367" s="4" t="str">
        <f t="shared" si="36"/>
        <v>May</v>
      </c>
      <c r="E367" t="str">
        <f t="shared" si="37"/>
        <v>26</v>
      </c>
      <c r="F367" t="str">
        <f t="shared" si="38"/>
        <v>MA</v>
      </c>
      <c r="G367" t="str">
        <f t="shared" si="39"/>
        <v>26MA10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AB371-5979-4672-8D11-1CD4FF08ED68}"/>
</file>

<file path=customXml/itemProps2.xml><?xml version="1.0" encoding="utf-8"?>
<ds:datastoreItem xmlns:ds="http://schemas.openxmlformats.org/officeDocument/2006/customXml" ds:itemID="{6B834986-A681-4891-BB8D-781D4D28099B}"/>
</file>

<file path=customXml/itemProps3.xml><?xml version="1.0" encoding="utf-8"?>
<ds:datastoreItem xmlns:ds="http://schemas.openxmlformats.org/officeDocument/2006/customXml" ds:itemID="{8BA245AF-832A-4EFA-ABE3-A247EF3F09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Sira Maldonado</dc:creator>
  <cp:keywords/>
  <dc:description/>
  <cp:lastModifiedBy>jessie.chiu@mxns.com</cp:lastModifiedBy>
  <cp:revision/>
  <dcterms:created xsi:type="dcterms:W3CDTF">2025-05-16T20:17:54Z</dcterms:created>
  <dcterms:modified xsi:type="dcterms:W3CDTF">2026-01-21T14:28:51Z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