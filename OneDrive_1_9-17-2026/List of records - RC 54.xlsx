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92" documentId="8_{EBB30992-BAFD-467F-9534-4F50C9FCDF6B}" xr6:coauthVersionLast="47" xr6:coauthVersionMax="47" xr10:uidLastSave="{02B252E3-8308-4C08-8310-2BFB3A1E4857}"/>
  <bookViews>
    <workbookView xWindow="-110" yWindow="-110" windowWidth="19420" windowHeight="11500" xr2:uid="{62202C8E-2A12-41AE-BB59-B44D627B2227}"/>
  </bookViews>
  <sheets>
    <sheet name="List of Record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xlnm._FilterDatabase" localSheetId="0" hidden="1">'List of Records'!$A$1:$E$182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'List of Records'!$A$1:$E$182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2" i="1"/>
  <c r="A11" i="1"/>
  <c r="B105" i="1"/>
  <c r="B44" i="1"/>
  <c r="A20" i="1"/>
  <c r="A17" i="1"/>
  <c r="A16" i="1"/>
  <c r="A13" i="1"/>
  <c r="A9" i="1"/>
  <c r="A3" i="1"/>
</calcChain>
</file>

<file path=xl/sharedStrings.xml><?xml version="1.0" encoding="utf-8"?>
<sst xmlns="http://schemas.openxmlformats.org/spreadsheetml/2006/main" count="853" uniqueCount="548">
  <si>
    <t>Name of Record</t>
  </si>
  <si>
    <t>Record #</t>
  </si>
  <si>
    <t>Monitoring Responsibility  / Title</t>
  </si>
  <si>
    <t>Verification Responsibility  / Title</t>
  </si>
  <si>
    <t>Revision date/ Revision #</t>
  </si>
  <si>
    <t>Reason</t>
  </si>
  <si>
    <t>WRITTEN PROGRAM/S</t>
  </si>
  <si>
    <t>N/A</t>
  </si>
  <si>
    <t>HACCP Coordinator; or as per written program</t>
  </si>
  <si>
    <t>Food Safety Specialist; per written program</t>
  </si>
  <si>
    <t>As per individual file</t>
  </si>
  <si>
    <t xml:space="preserve">Cooked Fermented Products </t>
  </si>
  <si>
    <t xml:space="preserve">Form 1 </t>
  </si>
  <si>
    <t>April 20, 2026, Rev 10</t>
  </si>
  <si>
    <t>Form 10 - ccp 1B</t>
  </si>
  <si>
    <t>April 13 2026, Rev 3</t>
  </si>
  <si>
    <t>no change, review only</t>
  </si>
  <si>
    <t>Form 10 - ccp 2B</t>
  </si>
  <si>
    <t>April 13 2026, Rev 4</t>
  </si>
  <si>
    <t>Form 3</t>
  </si>
  <si>
    <t>April 13 2026, Rev 12</t>
  </si>
  <si>
    <r>
      <rPr>
        <sz val="10"/>
        <color rgb="FF000000"/>
        <rFont val="Calibri"/>
        <family val="2"/>
      </rPr>
      <t>Form 2,</t>
    </r>
    <r>
      <rPr>
        <sz val="10"/>
        <color rgb="FFFF0000"/>
        <rFont val="Calibri"/>
        <family val="2"/>
      </rPr>
      <t xml:space="preserve"> 5-9</t>
    </r>
  </si>
  <si>
    <t>April 13 2026, Rev 8</t>
  </si>
  <si>
    <t>Form 10</t>
  </si>
  <si>
    <t>April 13 2026, Rev 13</t>
  </si>
  <si>
    <t>Form 5-9</t>
  </si>
  <si>
    <t>April 13 2026, Rev 19</t>
  </si>
  <si>
    <t>Form 1-2-5-9</t>
  </si>
  <si>
    <t>April 13 2026, Rev 6</t>
  </si>
  <si>
    <t>List of Records</t>
  </si>
  <si>
    <t>RC-54</t>
  </si>
  <si>
    <t>March 11 2026, Rev 5</t>
  </si>
  <si>
    <t>Master Cleaning Schedule / Sanitation SSOPS</t>
  </si>
  <si>
    <t>RC-SSOP-01</t>
  </si>
  <si>
    <t>April 6 2026, Rev 1</t>
  </si>
  <si>
    <t xml:space="preserve">HACCP Team Members </t>
  </si>
  <si>
    <t>As per individual file (June 24 2026, Revision # 5</t>
  </si>
  <si>
    <t>Food Safety Policy</t>
  </si>
  <si>
    <t>QA/HACCP Coordinator; or as per written program</t>
  </si>
  <si>
    <t>Food Safety Specialist; per written program/ Annually/as needed</t>
  </si>
  <si>
    <t>As per individual file/ June 24 2026, Revision # 5</t>
  </si>
  <si>
    <t>Organizational Chart</t>
  </si>
  <si>
    <t>Org. Chart</t>
  </si>
  <si>
    <t>June 24 2026, Rev. 9</t>
  </si>
  <si>
    <t>Food Defense (Challenge)</t>
  </si>
  <si>
    <t>RC-103</t>
  </si>
  <si>
    <t xml:space="preserve">Aug </t>
  </si>
  <si>
    <t>List of Finished Products</t>
  </si>
  <si>
    <t>RC-104</t>
  </si>
  <si>
    <t>August 10 2026 Rev 8</t>
  </si>
  <si>
    <t>PRP A - PREMISES (GROUNDS &amp; FACILITIES)</t>
  </si>
  <si>
    <t>PREMISES / GMP  INSPECTION RECORD</t>
  </si>
  <si>
    <t>RC-1</t>
  </si>
  <si>
    <t>HACCP Coordinator; monthly, or as per record</t>
  </si>
  <si>
    <t xml:space="preserve">Food Safety Specialist; Semiannually </t>
  </si>
  <si>
    <t>Revision Dec 14, 2023
Revision # 06</t>
  </si>
  <si>
    <t xml:space="preserve">GMP Plant Inspection Record </t>
  </si>
  <si>
    <t>RC-1A</t>
  </si>
  <si>
    <t xml:space="preserve">Food Safety Specialist - Monthly </t>
  </si>
  <si>
    <t>During Internal Audit</t>
  </si>
  <si>
    <t>Revision July 25, 2022
Revision # 00</t>
  </si>
  <si>
    <t>PREOPERATIONAL RECORD - SHIPPING AREA (New building)</t>
  </si>
  <si>
    <t>RC- 2 A</t>
  </si>
  <si>
    <t>Shipping Supervisor; Daily</t>
  </si>
  <si>
    <t>HACCP Coordinator; Monthly</t>
  </si>
  <si>
    <t>Revision Date: Nov  28, 2025
Revision # 02</t>
  </si>
  <si>
    <t>Reefer cooler container added</t>
  </si>
  <si>
    <t xml:space="preserve">PREOPERATIONAL RECORD - PACKAGING AREA </t>
  </si>
  <si>
    <t>RC-2</t>
  </si>
  <si>
    <t>Packaging Supervisor; Daily</t>
  </si>
  <si>
    <t>Revision Date: Oct 21,2025
Revision # 06</t>
  </si>
  <si>
    <t xml:space="preserve">PREOPERATIONAL RECORD - RAW AREA </t>
  </si>
  <si>
    <t>RC-3</t>
  </si>
  <si>
    <t>Production Supervisor; Daily</t>
  </si>
  <si>
    <t>Revision Date: June 17,2026
Revision # 07</t>
  </si>
  <si>
    <t xml:space="preserve">OPERATIONAL RECORD - SHIPPING AREA (New building) </t>
  </si>
  <si>
    <t>RC- 4 A</t>
  </si>
  <si>
    <t>OPERATIONAL RECORD - PACKAGING AREA</t>
  </si>
  <si>
    <t>RC-4</t>
  </si>
  <si>
    <t>Revision Date: June 22,2026
Revision # 07</t>
  </si>
  <si>
    <t xml:space="preserve">OPERATIONAL RECORD - RAW AREA </t>
  </si>
  <si>
    <t>RC-5</t>
  </si>
  <si>
    <t>Revision Date: June 17,2026
Revision # 06</t>
  </si>
  <si>
    <t xml:space="preserve">COLOUR CODING LIST </t>
  </si>
  <si>
    <t>RC-6</t>
  </si>
  <si>
    <t>HACCP Coordinator; As needed</t>
  </si>
  <si>
    <t>Food Safety Specialist; Annually</t>
  </si>
  <si>
    <t>Revision Date: Aug 17,2026
Revision # 2</t>
  </si>
  <si>
    <t>AIR AND WATER FILTERS INSPECTION RECORD</t>
  </si>
  <si>
    <t>RC-7</t>
  </si>
  <si>
    <t>Maintanance employee; Annually</t>
  </si>
  <si>
    <t>Revision Date: Dec 6,2022
Revision # 13</t>
  </si>
  <si>
    <t>Sharp Object</t>
  </si>
  <si>
    <t>RC-59</t>
  </si>
  <si>
    <t>Production employee; each use</t>
  </si>
  <si>
    <t>Food Safety Specialist; Monthly</t>
  </si>
  <si>
    <t>Revision Date: June 22,2026
Revision # 1</t>
  </si>
  <si>
    <t>PRP B - TRANSPORTATION, STORAGE, PURCHASING AND SUPPLIER APPROVAL</t>
  </si>
  <si>
    <t>RECEIVING LOG - RAW AREA</t>
  </si>
  <si>
    <t>RC-8A</t>
  </si>
  <si>
    <t>Production Supervisor/Receiver; each load</t>
  </si>
  <si>
    <t>HACCP Coordinator; Weekly</t>
  </si>
  <si>
    <t>Revision Date: Dec 06,2022
Revision # 03</t>
  </si>
  <si>
    <t>na - digital log</t>
  </si>
  <si>
    <t>RECEIVING LOG - PACKAGING AREA</t>
  </si>
  <si>
    <t>RC-8B</t>
  </si>
  <si>
    <t>SHIPPING LOG</t>
  </si>
  <si>
    <t>RC-9</t>
  </si>
  <si>
    <t>Shipper/Receiver; each load</t>
  </si>
  <si>
    <t>Revision Date: December 21,2022
Revision # 03</t>
  </si>
  <si>
    <t>LIST OF APPROVED SUPPLIERS- RAW MEAT</t>
  </si>
  <si>
    <t>HACCP Coordinator; as needed</t>
  </si>
  <si>
    <t>Food Safety Specialist; Quarterly</t>
  </si>
  <si>
    <t>Revision Date: June 8, 2026 Revision #8</t>
  </si>
  <si>
    <t>LIST OF APPROVED SUPPLIERS- SPICES</t>
  </si>
  <si>
    <t>RC-10 A</t>
  </si>
  <si>
    <t>LIST OF APPROVED SUPPLIERS- ADDITIVE</t>
  </si>
  <si>
    <t>RC-10 B</t>
  </si>
  <si>
    <t>LIST OF APPROVED SUPPLIERS- PACKAGING</t>
  </si>
  <si>
    <t>RC-10 C</t>
  </si>
  <si>
    <t>LIST OF APPROVED SUPPLIERS- CHEMICALS</t>
  </si>
  <si>
    <t>RC-10 D</t>
  </si>
  <si>
    <t>Revision Date: June 3 2026, Revision #4</t>
  </si>
  <si>
    <t>LIST OF APPROVED SUPPLIERS- RESALE ITEMS</t>
  </si>
  <si>
    <t>RC-10 E</t>
  </si>
  <si>
    <t>Revision Date: December 21, 2022 Revision #01</t>
  </si>
  <si>
    <t>do not use, not plant related, separated for Deli use only</t>
  </si>
  <si>
    <t>PRP C - EQUIPMENT (Maintenance and Calibration)</t>
  </si>
  <si>
    <t>LIST OF EQUIPMENT / UTENSILS</t>
  </si>
  <si>
    <t>RC-11</t>
  </si>
  <si>
    <t>Revision Date: April 29,2026
Revision # 07</t>
  </si>
  <si>
    <t>PREVENTATIVE MAINTENANCE RECORD - RAW (NON-DAILY)</t>
  </si>
  <si>
    <t>RC-12</t>
  </si>
  <si>
    <t>Production Supervisor; as per record</t>
  </si>
  <si>
    <t>Revision Date: Dec 22,2022;
Revision # 03</t>
  </si>
  <si>
    <t>PREVENTATIVE MAINTENANCE RECORD - RAW MEAT AREA (DAILY)</t>
  </si>
  <si>
    <t>RC-12B</t>
  </si>
  <si>
    <t>Revision Date: December 2,2025
Revision # 04</t>
  </si>
  <si>
    <t>PREVENTATIVE MAINTENANCE RECORD - PACKAGING AREA</t>
  </si>
  <si>
    <t>RC-13</t>
  </si>
  <si>
    <t>Packaging Supervisor (Maintenance); as per record</t>
  </si>
  <si>
    <t>Revision Date: Jan 03,2025
Revision # 08</t>
  </si>
  <si>
    <t>PREVENTATIVE MAINTENANCE RECORD (DAILY) - PACKAGING AREA</t>
  </si>
  <si>
    <t>RC-13B</t>
  </si>
  <si>
    <t>Revision Date:January 02,2024
Revision # 07</t>
  </si>
  <si>
    <t>NEW EQUIPMENT / UTENSILS RECORD</t>
  </si>
  <si>
    <t>RC-14</t>
  </si>
  <si>
    <t>Production Supervisor/ Food Safety Specialist / Outside Contractor; as needed</t>
  </si>
  <si>
    <t>Revision Date: December 22,2022; Revision #03</t>
  </si>
  <si>
    <t>WORK ORDER FORM</t>
  </si>
  <si>
    <t>RC-15</t>
  </si>
  <si>
    <t>HACCP Coordinator / Production Supervisor; as needed</t>
  </si>
  <si>
    <t>Revision Date: July 15, 2026
Revision # 02</t>
  </si>
  <si>
    <t>THERMOMETER MONITORING RECORD (HANDHELD)</t>
  </si>
  <si>
    <t>RC-16A</t>
  </si>
  <si>
    <t>Food Safety Specialist; Semi-Annually</t>
  </si>
  <si>
    <t>Revision Date: Jan 04,2023
Revision # 03</t>
  </si>
  <si>
    <t>THERMOMETER MONITORING RECORD (WALL UNITS)</t>
  </si>
  <si>
    <t>RC-16B</t>
  </si>
  <si>
    <t>HACCP Coordinator; Quarterly</t>
  </si>
  <si>
    <t xml:space="preserve">use outside calibration services </t>
  </si>
  <si>
    <t>THERMOMETER MONITORING RECORD (SMOKEHOUSES)</t>
  </si>
  <si>
    <t>RC-16C</t>
  </si>
  <si>
    <t>EQUIPMENT SERVICE / CALIBRATION SCHEDULE</t>
  </si>
  <si>
    <t>RC-16D</t>
  </si>
  <si>
    <t>HACCP Coordinator/ Production/ Scheduling Supervisor; as per record</t>
  </si>
  <si>
    <t>Foor Safety Specialist; Semi-Annually</t>
  </si>
  <si>
    <t>Revision Date: Jan 12,2024
Revision # 04</t>
  </si>
  <si>
    <t>SCALE CALIBRATION RECORD</t>
  </si>
  <si>
    <t>RC-78</t>
  </si>
  <si>
    <t xml:space="preserve">HACCP Coordinator or designated traine employee </t>
  </si>
  <si>
    <t>Rev. Date: Feb 4,2026; Rev. # 01</t>
  </si>
  <si>
    <t>PH METER CALIBRATION RECORD</t>
  </si>
  <si>
    <t>RC-17</t>
  </si>
  <si>
    <t>HACCP Coordinator; Twice Monthly</t>
  </si>
  <si>
    <t>Revision Date: Feb 4,2026
Revision # 04</t>
  </si>
  <si>
    <t>ATP METER CALIBRATION RECORD</t>
  </si>
  <si>
    <t>RC-17A</t>
  </si>
  <si>
    <t xml:space="preserve">HACCP Coordinator , Monthly </t>
  </si>
  <si>
    <t>Revision Date: Feb 26, 2025
Revision # 04</t>
  </si>
  <si>
    <t>WATER ACTIVITY CALIBRATION RECORD</t>
  </si>
  <si>
    <t>RC-58</t>
  </si>
  <si>
    <t>HACCP Coordinator , Weekly</t>
  </si>
  <si>
    <t xml:space="preserve">Foor Safety Specialist; Quarterly </t>
  </si>
  <si>
    <t>Revision Date:Jan 12,2024
Revision # 04</t>
  </si>
  <si>
    <t>LIST OF APPROVED CONTRACTORS</t>
  </si>
  <si>
    <t>RC-25</t>
  </si>
  <si>
    <t xml:space="preserve">HACCP Coordinator ongoing </t>
  </si>
  <si>
    <t xml:space="preserve">Production / Scheduling Supervisor , Annually </t>
  </si>
  <si>
    <t>Revision Date: July 7, 2026
Revision # 07</t>
  </si>
  <si>
    <t xml:space="preserve">Hazard Analysis for Contractors </t>
  </si>
  <si>
    <t>RC-79</t>
  </si>
  <si>
    <t>NA</t>
  </si>
  <si>
    <t>Revision Date:Aug 31, 2026
Revision # 01</t>
  </si>
  <si>
    <t>Fridge Temperature Check (QA0</t>
  </si>
  <si>
    <t>RC-100</t>
  </si>
  <si>
    <t>Revision Date: May 12,2026
Revision # 00</t>
  </si>
  <si>
    <t>Weight Ranges</t>
  </si>
  <si>
    <t>RC-106</t>
  </si>
  <si>
    <t>Quality Assurance; ongoing</t>
  </si>
  <si>
    <t>QA</t>
  </si>
  <si>
    <t>Revision Date: Sept 16 ,2026
Revision # 00</t>
  </si>
  <si>
    <t>PRP D - TRAINING</t>
  </si>
  <si>
    <t xml:space="preserve">EMPLOYEES TRAINING RECORD- Annual </t>
  </si>
  <si>
    <t>RC-18</t>
  </si>
  <si>
    <t>HACCP Coordinator, as per record</t>
  </si>
  <si>
    <t>Food Safety Specialist, as per record</t>
  </si>
  <si>
    <t>Revision Date: January 19,2023
Revision # 03</t>
  </si>
  <si>
    <t xml:space="preserve">EMPLOYEES TRAINING RECORD- Group </t>
  </si>
  <si>
    <t>RC-18A</t>
  </si>
  <si>
    <t>TRAINING SCHEDULE</t>
  </si>
  <si>
    <t>RC-19</t>
  </si>
  <si>
    <t>Revision Date: Sept 4 2026
Revision # 04</t>
  </si>
  <si>
    <t xml:space="preserve">VISITOR’S/CONTRACTOR’S SIGN IN/OUT LOG BOOK   </t>
  </si>
  <si>
    <t>RC-20</t>
  </si>
  <si>
    <t>Admin. Asst.; each visit</t>
  </si>
  <si>
    <t xml:space="preserve">Food Safety Specialist; Quarterly </t>
  </si>
  <si>
    <t>Revision Date: April 27,2026
Revision # 04</t>
  </si>
  <si>
    <t>GMP Quiz</t>
  </si>
  <si>
    <t>na</t>
  </si>
  <si>
    <t>Foor Safety Specialist; Yearly/as needed</t>
  </si>
  <si>
    <t>Revision Date: May 11 ,2026
Revision # 03</t>
  </si>
  <si>
    <t>Allergen Quiz</t>
  </si>
  <si>
    <t>CCP Quiz</t>
  </si>
  <si>
    <t>Environmetal Quiz</t>
  </si>
  <si>
    <t>Cleaning and Sanitation Quiz</t>
  </si>
  <si>
    <t>Revision Date: May 11 ,2026
Revision # 02</t>
  </si>
  <si>
    <t>PRP E - SANITATION</t>
  </si>
  <si>
    <t xml:space="preserve">BUILDING SANITATION RECORD- Raw / Packaging </t>
  </si>
  <si>
    <t>RC-21</t>
  </si>
  <si>
    <t>Packaging Supervisor; as per record</t>
  </si>
  <si>
    <t>Revision Date: June 15,2026
Revision #04</t>
  </si>
  <si>
    <t>SANITATION RECORD - PACKAGING AREA/Warehouse</t>
  </si>
  <si>
    <t>RC-22</t>
  </si>
  <si>
    <t>HACCP Coordinator;  Monthly</t>
  </si>
  <si>
    <t>Revision Date: June 04, 2026
Revision # 10</t>
  </si>
  <si>
    <t>SANITATION RECORD - COMMON AREA</t>
  </si>
  <si>
    <t>RC-22A</t>
  </si>
  <si>
    <t>Revision Date: Jun 23,2026
Revision # 04</t>
  </si>
  <si>
    <t>SANITATION RECORD - Smokehouse operator</t>
  </si>
  <si>
    <t>RC-23</t>
  </si>
  <si>
    <t>Production Supervisor/ Sanitation Employee; as per record</t>
  </si>
  <si>
    <t>Revision Date: Oct 31, 2025
Revision # 07</t>
  </si>
  <si>
    <t>SANITATION RECORD - RAW AREA name change to SANITATION RECORD - Smokehouse and Raw area are removed only keeping areas cleaned by smokehouse operators.</t>
  </si>
  <si>
    <t xml:space="preserve">SANITATION RECORD - Raw and Packaging room </t>
  </si>
  <si>
    <t>RC-23A</t>
  </si>
  <si>
    <t>Revision Date: July 2, 2026
Rev. # 08</t>
  </si>
  <si>
    <t>LAB TESTING SCHEDULE</t>
  </si>
  <si>
    <t>RC-24</t>
  </si>
  <si>
    <t>Production Supervisor/HACCP Coordinator; as per record</t>
  </si>
  <si>
    <t xml:space="preserve"> Food Safety Specialist; Semi-Annually</t>
  </si>
  <si>
    <t>Revision Date: Jan 28 ,2026
Revision # 05</t>
  </si>
  <si>
    <t>BLOOD SPILL SANITATION RECORD</t>
  </si>
  <si>
    <t>RC-26</t>
  </si>
  <si>
    <t>Production Supervisor; as needed</t>
  </si>
  <si>
    <t>HACCP Coordinator/ Food Safety Specialist; Monthly</t>
  </si>
  <si>
    <t>Revision Date: Aug 31 2026
Revision # 03</t>
  </si>
  <si>
    <t>CHEMICAL CONCENTRATION LOG</t>
  </si>
  <si>
    <t>RC-66</t>
  </si>
  <si>
    <t>Sanitation Employee; Production Supervisor; Packaging Supervisor; Weekly</t>
  </si>
  <si>
    <t>Revision Date: April 20, 2026
Revision # 05</t>
  </si>
  <si>
    <t>Sanimarc</t>
  </si>
  <si>
    <t>BOOT BATH- CHEMICAL CONCENTRATION LOG</t>
  </si>
  <si>
    <t>RC-37</t>
  </si>
  <si>
    <t>Revision Date: October 12, 2023
Revision # 01                                          Obsolete May 2, 2024</t>
  </si>
  <si>
    <t>Discontinued</t>
  </si>
  <si>
    <t>PRP F - RECALL</t>
  </si>
  <si>
    <t>HOLD RECORD</t>
  </si>
  <si>
    <t>RC-27</t>
  </si>
  <si>
    <t>Packaging Supervisor/ Food Safety Specialist; as needed</t>
  </si>
  <si>
    <t>Revision Date: December 08,2021
Revision # 02</t>
  </si>
  <si>
    <t>HOLD LOG BOOK</t>
  </si>
  <si>
    <t>RC-28</t>
  </si>
  <si>
    <t>FOOD SAFETY DEVIATION RECORD</t>
  </si>
  <si>
    <t>RC-29</t>
  </si>
  <si>
    <t>Food Safety Specialist; as needed</t>
  </si>
  <si>
    <t>Revision Date: February 03,2025
Revision # 03</t>
  </si>
  <si>
    <t>FOOD SAFETY DEVIATION RECORD log</t>
  </si>
  <si>
    <t>RC-29A</t>
  </si>
  <si>
    <t>Revision Date: January 02,2025
Revision # 00</t>
  </si>
  <si>
    <t>RECALL NOTIFICATION</t>
  </si>
  <si>
    <t>RC-80</t>
  </si>
  <si>
    <t>Management Team; as needed</t>
  </si>
  <si>
    <t>Revision Date: October 14,2022
Revision # 00</t>
  </si>
  <si>
    <t>RECALL CARD</t>
  </si>
  <si>
    <t>RC-81</t>
  </si>
  <si>
    <t>RECALL REPLY</t>
  </si>
  <si>
    <t>RC-82</t>
  </si>
  <si>
    <t>MEDIA RELEASE LETTER</t>
  </si>
  <si>
    <t>RC-83</t>
  </si>
  <si>
    <t>RECALL LETTER TERMINATION</t>
  </si>
  <si>
    <t>RC-84</t>
  </si>
  <si>
    <t xml:space="preserve">Mock Recall Record </t>
  </si>
  <si>
    <t>RC-30</t>
  </si>
  <si>
    <t>Revision Date: Aug 02,2022
Revision # 00</t>
  </si>
  <si>
    <t>CUSTOMER COMPLAINTS RECORD</t>
  </si>
  <si>
    <t>RC-31</t>
  </si>
  <si>
    <t>Vice-President; Sale Rep, HACCP Coordinator/ SFP</t>
  </si>
  <si>
    <t>Revision Date: January 27,2023
Revision # 03</t>
  </si>
  <si>
    <t>CUSTOMER COMPLAINTS LOG RECORD</t>
  </si>
  <si>
    <t>RC-32</t>
  </si>
  <si>
    <t>Vice-President; as needed</t>
  </si>
  <si>
    <t xml:space="preserve">COMPLAINT TO SUPPLIER RECORD            </t>
  </si>
  <si>
    <t>RC-33</t>
  </si>
  <si>
    <t>Vice President; as needed</t>
  </si>
  <si>
    <t>COMPLAINT TO SUPPLIER LOG RECORD</t>
  </si>
  <si>
    <t>RC-34</t>
  </si>
  <si>
    <t xml:space="preserve">LOG BOOK </t>
  </si>
  <si>
    <t>Revision Date: March 4, 2026
Revision #: 02</t>
  </si>
  <si>
    <t>Certificate of Destruction</t>
  </si>
  <si>
    <t>RC-99</t>
  </si>
  <si>
    <t>Revision Date: April 7, 2026
Revision #: 0</t>
  </si>
  <si>
    <t>Crisis Management Scenario</t>
  </si>
  <si>
    <t>RC-105</t>
  </si>
  <si>
    <t>Revision Date: August 31, 2026
Revision #: 1</t>
  </si>
  <si>
    <t>PRP G - OPERATIONAL CONTROLS</t>
  </si>
  <si>
    <t>LABEL VERIFICATION  RECORD</t>
  </si>
  <si>
    <t>RC-36</t>
  </si>
  <si>
    <t>Packaging/ Shipping /Administrative Assistant; as needed</t>
  </si>
  <si>
    <t>Revision Date: December 22,2022
Revision # 03</t>
  </si>
  <si>
    <t>SPICE INVENTORY RECORD</t>
  </si>
  <si>
    <t>RC-38</t>
  </si>
  <si>
    <t>Designated Employee , 2 x month</t>
  </si>
  <si>
    <t>Revision Date: Feb 09,2023
Revision # 02</t>
  </si>
  <si>
    <t>DISC March 11 2026, NA as per 2025 Records, inventory performed monthly by purchasing / inventory</t>
  </si>
  <si>
    <t>DAILY PRODUCTION SCHEDULING RECORD</t>
  </si>
  <si>
    <t>RC-39</t>
  </si>
  <si>
    <t>Production Scheduling Supervisor; daily</t>
  </si>
  <si>
    <t>NEW / MODIFIED PRODUCT FORMULATION RECORD</t>
  </si>
  <si>
    <t>RC-85</t>
  </si>
  <si>
    <t xml:space="preserve">President/ SQF practitioner </t>
  </si>
  <si>
    <t>Any time new product is developed or current formulation modified</t>
  </si>
  <si>
    <t>Revision Date: October 22,2022
Revision # 00</t>
  </si>
  <si>
    <t>PACKAGING RECORD</t>
  </si>
  <si>
    <t>RC-40A</t>
  </si>
  <si>
    <t>Packaging Supervisor/ Machine Operator</t>
  </si>
  <si>
    <t>Revision Date: March 11, 2026
Revision # 13</t>
  </si>
  <si>
    <t>METAL DETECTION RECORD</t>
  </si>
  <si>
    <t>RC-40B</t>
  </si>
  <si>
    <t>HACCP Coordinator; Monthly as needed</t>
  </si>
  <si>
    <t>Revision Date: April 6,2026
Revision # 05</t>
  </si>
  <si>
    <t>Facility Risk Assessment (Template)</t>
  </si>
  <si>
    <t>RC-70</t>
  </si>
  <si>
    <t>QA/ Food Safety Specialist; yearly / as needed</t>
  </si>
  <si>
    <t>QA / Food Safety Specialist; Annually</t>
  </si>
  <si>
    <t>Revision Date: Aug 17,2026
Revision # 02</t>
  </si>
  <si>
    <t>Risk Assessment Hairnet-Uniform</t>
  </si>
  <si>
    <t>RC-70b</t>
  </si>
  <si>
    <t>food fraud vulnerability assessment 70c</t>
  </si>
  <si>
    <t>RC-70c</t>
  </si>
  <si>
    <t>Risk Assessment - Food Defence / Buisness Continuity</t>
  </si>
  <si>
    <t>RC- 70D</t>
  </si>
  <si>
    <t>Risk Assessment for verification program</t>
  </si>
  <si>
    <t>RC- 70E</t>
  </si>
  <si>
    <t>Risk Assessment Analysis for: Temporary/Overflow Storage</t>
  </si>
  <si>
    <t>RC- 70F</t>
  </si>
  <si>
    <t>Risk Assessment Analysis for Metal Detector</t>
  </si>
  <si>
    <t>RC- 70G</t>
  </si>
  <si>
    <t>Risk Assessment for Lab testing frequencies</t>
  </si>
  <si>
    <t>RC- 70H</t>
  </si>
  <si>
    <t>Risk Assessment for Internal Audit</t>
  </si>
  <si>
    <t>RC- 70I</t>
  </si>
  <si>
    <t>Risk Assessment for Pipes, conduits, ducting</t>
  </si>
  <si>
    <t>RC- 70J</t>
  </si>
  <si>
    <t>Risk Assessment for Allergens</t>
  </si>
  <si>
    <t>RC- 70K</t>
  </si>
  <si>
    <t>Revision Date: Aug 31,2026
Revision # 01</t>
  </si>
  <si>
    <t xml:space="preserve">QA Daily On-site Inspection </t>
  </si>
  <si>
    <t>RC-87</t>
  </si>
  <si>
    <t xml:space="preserve">HACCP Coordinator or trained designate
Daily </t>
  </si>
  <si>
    <t xml:space="preserve">Food Safety Specialist 
Semi- annually </t>
  </si>
  <si>
    <t>Revision Date: May 26,2026
Revision # 01</t>
  </si>
  <si>
    <t>Finished Products Water Activity Records</t>
  </si>
  <si>
    <t>RC-86</t>
  </si>
  <si>
    <t>Packaging Supervisor/ Machine Operator
Daily</t>
  </si>
  <si>
    <t>Revision Date: December 09,2024
Revision # 01</t>
  </si>
  <si>
    <t>Catch Weights</t>
  </si>
  <si>
    <t>RC-102</t>
  </si>
  <si>
    <t>HACCP Coordinator; Weekly - as needed/used</t>
  </si>
  <si>
    <t>Revision Date: July 21, 2026
Revision # 00</t>
  </si>
  <si>
    <t>CCP Records</t>
  </si>
  <si>
    <t>SUMMARY OF CCP MONITORING</t>
  </si>
  <si>
    <t>RC-45</t>
  </si>
  <si>
    <t>HACCP Coordinator / SQF Practitioner: Upon HACCP review (CCP updates, changes, or modifications)</t>
  </si>
  <si>
    <t>Food Safety Specialist; annually</t>
  </si>
  <si>
    <t>Revision Date: Sept 4,2026
Revision # 06</t>
  </si>
  <si>
    <t>HAM TEMPERATURE COOLING MONITORING RECORD CCP3-B</t>
  </si>
  <si>
    <t>RC-48</t>
  </si>
  <si>
    <t>Production Supervisor, each batch</t>
  </si>
  <si>
    <t>HACCP Coordinator, each batch</t>
  </si>
  <si>
    <t>Revision Date: February 09,2023
Revision # 09</t>
  </si>
  <si>
    <t>DISC March 11 2026; not used as per 2025 records</t>
  </si>
  <si>
    <t>INJECTING RECORD (HAM)</t>
  </si>
  <si>
    <t>RC-49 A</t>
  </si>
  <si>
    <t>HACCP Coordinator, Annually</t>
  </si>
  <si>
    <t>Revision Date: February 09, 2023
Revision # 03</t>
  </si>
  <si>
    <t>INJECTING RECORD (Bacon)</t>
  </si>
  <si>
    <t>RC-49 B</t>
  </si>
  <si>
    <t>OTHER:</t>
  </si>
  <si>
    <t xml:space="preserve">GLASS/ RIGID PLASTIC MONITORING RECORD </t>
  </si>
  <si>
    <t>RC-41</t>
  </si>
  <si>
    <t>HACCP Coordinator; as per record</t>
  </si>
  <si>
    <t>Revision Date: April 6, 2026
Revision # 4</t>
  </si>
  <si>
    <t>PRE-SHIPMENT AND TAG VERIFICATION RECORD - COOKED SAUSAGES / HAMS</t>
  </si>
  <si>
    <t>RC-42A</t>
  </si>
  <si>
    <t>Shipping Assistant; end of packaging</t>
  </si>
  <si>
    <t>Revision Date: February 09,2023
Revision # 1</t>
  </si>
  <si>
    <t xml:space="preserve">DISC March 11 2026; not used as per 2025 records, use positive release log </t>
  </si>
  <si>
    <t>PRE-SHIPMENT AND TAG VERIFICATION RECORD - FERMENTED / SHELF - STABLE</t>
  </si>
  <si>
    <t>RC-42B</t>
  </si>
  <si>
    <t>PRE-SHIPMENT AND TAG VERIFICATION RECORD - JERKY</t>
  </si>
  <si>
    <t>RC-42C</t>
  </si>
  <si>
    <t>Pre-shipment review (US sample)</t>
  </si>
  <si>
    <t xml:space="preserve">CFIA approval (USA shipment only) </t>
  </si>
  <si>
    <t>Revision Date: July 28, 2026
Revision # 00</t>
  </si>
  <si>
    <t>HACCP SYSTEM REASSESSMENT RECORD</t>
  </si>
  <si>
    <t>RC-43</t>
  </si>
  <si>
    <t>Food Safety Specialist; as per schedule</t>
  </si>
  <si>
    <t xml:space="preserve">Not in use </t>
  </si>
  <si>
    <t>Revision Date: December 08,2021
Revision #:02</t>
  </si>
  <si>
    <t>MONITORING /VERIFICATION RECORD</t>
  </si>
  <si>
    <t>RC-47</t>
  </si>
  <si>
    <t>Food Safety Specialist; as per record</t>
  </si>
  <si>
    <t>Revision Date: 08-Dec-2021
Revision # 02</t>
  </si>
  <si>
    <t>DISC March 11 2026; each record has its own verification line, this is not required</t>
  </si>
  <si>
    <t>DEHYDRATION MONITORING RECORD</t>
  </si>
  <si>
    <t>RC-50 A</t>
  </si>
  <si>
    <t>Production Supervisor or Production Employee; twice a day</t>
  </si>
  <si>
    <t>Revision Date: August 02,2023
Revision # 03</t>
  </si>
  <si>
    <t>RC-50 B</t>
  </si>
  <si>
    <t>Revision Date: August 1, 2023
Revision # 03</t>
  </si>
  <si>
    <t>RC-50 C</t>
  </si>
  <si>
    <t>Revision Date: March 11, 2026
Revision # 05</t>
  </si>
  <si>
    <t>IN HOUSE SHELF LIFE EVALUATION RECORD</t>
  </si>
  <si>
    <t>RC-51</t>
  </si>
  <si>
    <t>Production Supervisor; yearly, as needed</t>
  </si>
  <si>
    <t>Revision Date: May 13,2026
Revision # 02</t>
  </si>
  <si>
    <t>PRODUCT ORGANOLEPTIC REVIEW</t>
  </si>
  <si>
    <t>RC-53</t>
  </si>
  <si>
    <t>Revision Date: June 9,2026
Revision # 02</t>
  </si>
  <si>
    <t xml:space="preserve">Food Safety Culture Survey Scoring Chart           </t>
  </si>
  <si>
    <t>RC-75</t>
  </si>
  <si>
    <t>Food Safety Specialist - as needed</t>
  </si>
  <si>
    <t>Revision Date: Sep 22,2022
Revision # 00</t>
  </si>
  <si>
    <t xml:space="preserve">FOOD SAFETY CULTURE SCORING LIST </t>
  </si>
  <si>
    <t>RC-76</t>
  </si>
  <si>
    <t>FOOD SAFETY CULTURE GMP's Inspection Scoring Chart</t>
  </si>
  <si>
    <t>RC-77</t>
  </si>
  <si>
    <t xml:space="preserve">Food Safety Specialist- as needed </t>
  </si>
  <si>
    <t>Revision Date: Sep 23,2022
Revision # 00</t>
  </si>
  <si>
    <t>SANITATION CHEMICALS INVENTORY</t>
  </si>
  <si>
    <t>RC-52</t>
  </si>
  <si>
    <t>HACCP Coordinator , quarterly</t>
  </si>
  <si>
    <t>Revision Date: March 27,2026
Revision # 04</t>
  </si>
  <si>
    <t>LIST OF PLANT SIGNS</t>
  </si>
  <si>
    <t>RC-55</t>
  </si>
  <si>
    <t>HACCP Coordinator/ SQFP ; yearly, as needed</t>
  </si>
  <si>
    <t>Revision Date: February 09,2023
Revision # 03</t>
  </si>
  <si>
    <t>not required</t>
  </si>
  <si>
    <t>Defrosting Meat Temperature Montoring Record</t>
  </si>
  <si>
    <t>RC-64</t>
  </si>
  <si>
    <t>Production Supervisor or Production Employee; as needed</t>
  </si>
  <si>
    <t>HACCP Coordinator/ SQFP Monthly</t>
  </si>
  <si>
    <t>Revision Date: February 28,2023
Revision #: 03</t>
  </si>
  <si>
    <t>APPROVED LABEL RECORD</t>
  </si>
  <si>
    <t>RC-67</t>
  </si>
  <si>
    <t>HACCP Coordinator; Each new / modified label</t>
  </si>
  <si>
    <t>Revision Date: May 27,2026
Revision #: 03</t>
  </si>
  <si>
    <t>SIFTER LOG</t>
  </si>
  <si>
    <t>RC-68</t>
  </si>
  <si>
    <t>Production Employee; before, upon deviation and after production</t>
  </si>
  <si>
    <t>PROFICIENCY TESTING RECORD</t>
  </si>
  <si>
    <t>RC-69</t>
  </si>
  <si>
    <t>CCP Employee (pH, Aw)</t>
  </si>
  <si>
    <t>HACCP Coordinator; Once annually</t>
  </si>
  <si>
    <t>Revision Date: May 8, 2026
Revision #: 03</t>
  </si>
  <si>
    <t>RAW MATERIAL USAGE RECORD</t>
  </si>
  <si>
    <t>RC-74</t>
  </si>
  <si>
    <t>Production Employee
Daily</t>
  </si>
  <si>
    <t>Revision Date: January 27,2026
Revision #: 00</t>
  </si>
  <si>
    <t xml:space="preserve">Linker Instructions </t>
  </si>
  <si>
    <t>RC-73</t>
  </si>
  <si>
    <t>operational guide only</t>
  </si>
  <si>
    <t>Revision Date: Jan 26, 2026
Revision #: 00</t>
  </si>
  <si>
    <t>WORK ORDER Log Book</t>
  </si>
  <si>
    <t>RC-57</t>
  </si>
  <si>
    <t>Production Supervisor/ HACCP Coordinator / SQFP , as needed</t>
  </si>
  <si>
    <t>NA - Maitenance Direct online platform</t>
  </si>
  <si>
    <t xml:space="preserve">Validation / Risk Assessment Schedule </t>
  </si>
  <si>
    <t>RC-88</t>
  </si>
  <si>
    <t>Revision Date: 21-Aug-2026
Revision #: 04</t>
  </si>
  <si>
    <t xml:space="preserve">Notification Of Change </t>
  </si>
  <si>
    <t>RC-44</t>
  </si>
  <si>
    <t>Leader</t>
  </si>
  <si>
    <t xml:space="preserve">Internal Audit- Food Safety Specialist </t>
  </si>
  <si>
    <t>Revision Date: 9 Jan-2025
Revision #: 01</t>
  </si>
  <si>
    <t>RC-89 REWORK RECORD &amp; LOG</t>
  </si>
  <si>
    <t>RC-89</t>
  </si>
  <si>
    <t xml:space="preserve">Food Safety team </t>
  </si>
  <si>
    <t>Revision Date: 17- Apr-2025
Revision #: 00</t>
  </si>
  <si>
    <t>RETURN PRODUCTS</t>
  </si>
  <si>
    <t>RC-90</t>
  </si>
  <si>
    <t>Revision Date: 09- May-2025
Revision #: 00</t>
  </si>
  <si>
    <t>Returned product LOG</t>
  </si>
  <si>
    <t>RC-91</t>
  </si>
  <si>
    <t>SEAL CHECK WITH WATER BATH</t>
  </si>
  <si>
    <t>RC-92</t>
  </si>
  <si>
    <t>Revision Date: 27- April-2026
Revision #: 1</t>
  </si>
  <si>
    <t>pH check record (Shelf stable - CCP-1B and CCP-2B)</t>
  </si>
  <si>
    <t>RC-93</t>
  </si>
  <si>
    <t>Revision Date: 10- Oct-2025
Revision #: 00</t>
  </si>
  <si>
    <t>pH written on tags</t>
  </si>
  <si>
    <t>Jerky cutter record</t>
  </si>
  <si>
    <t>RC-94</t>
  </si>
  <si>
    <t>Jerky cutter operator</t>
  </si>
  <si>
    <t>Rev. Date: Nov 06, 2025
 Rev. # 00</t>
  </si>
  <si>
    <t>NA - not required monitored by cases</t>
  </si>
  <si>
    <t>PLAN FOR CONTINUOUS IMPROVEMENT FOR FOOD SAFETY AND QUALITY CULTURE</t>
  </si>
  <si>
    <t>Revision Date: 05- Jul-2023
Revision #: 00</t>
  </si>
  <si>
    <t>commitment statement, doc # now returns</t>
  </si>
  <si>
    <t>Supplier broker Food Safety Quality Audit Questionnarie</t>
  </si>
  <si>
    <t>RC-98</t>
  </si>
  <si>
    <t>QA - As needed</t>
  </si>
  <si>
    <t>QA - As needed / as supplied by new or reviewed supplier</t>
  </si>
  <si>
    <t>Revision Date: 07- Oct-2022
Revision #: 00</t>
  </si>
  <si>
    <t>Trial Project Request</t>
  </si>
  <si>
    <t>RC-101</t>
  </si>
  <si>
    <t xml:space="preserve">QA - As needed </t>
  </si>
  <si>
    <t>Revision Date: 15- July-2026
Revision #: 00</t>
  </si>
  <si>
    <t>Applicable Acts and Regulations</t>
  </si>
  <si>
    <t>Meat Inspection Regulations, 1990 (SOR/90-288)</t>
  </si>
  <si>
    <t>Regulations are current to 2015-01-19 and last amended on 2014-06-13</t>
  </si>
  <si>
    <t>Meat Hygiene Manual of Procedures; Chapter 4</t>
  </si>
  <si>
    <t>Date modified:2014-08-07</t>
  </si>
  <si>
    <r>
      <t xml:space="preserve">Meat and Poultry Products Regulations; Food Safety Enhancement Program </t>
    </r>
    <r>
      <rPr>
        <b/>
        <sz val="10"/>
        <rFont val="Calibri"/>
        <family val="2"/>
      </rPr>
      <t xml:space="preserve">(FSEP) </t>
    </r>
    <r>
      <rPr>
        <sz val="10"/>
        <rFont val="Calibri"/>
        <family val="2"/>
      </rPr>
      <t>Manual</t>
    </r>
  </si>
  <si>
    <t>Date modified:2014-07-02</t>
  </si>
  <si>
    <t>Food and Drugs Act; 
Food and Drug Regulations (C.R.C., c. 870); Part #2 : Division 01 Nutritional labelling</t>
  </si>
  <si>
    <t>2015-01-14</t>
  </si>
  <si>
    <t xml:space="preserve">Health Protection and Promotion Act; O. Reg 562 Part #3 and 4
</t>
  </si>
  <si>
    <t>Consumer Packaging and Labeling Act;
Consumer Packaging and Labeling Regulations (C.R.C., c. 417)</t>
  </si>
  <si>
    <t xml:space="preserve">Safe Drinking Water Act (Ontario);
O. Reg 169/03 Ontario </t>
  </si>
  <si>
    <t>Drinking Water Quality Standards; O. Reg 170/03 Drinking Water Systems</t>
  </si>
  <si>
    <t>Health Canada's Guidelines for Drinking; Water Quality
Table 1 : Microbiological Parameters
Table 2: Chemical and Physical Parameters</t>
  </si>
  <si>
    <t>The Weights and Measures Act (R.S.C., 1985, c. W-6)Principes of the Average System-   Tolerances of Net Quantities</t>
  </si>
  <si>
    <t>The Average System of Net Quantity Determination, CFIA</t>
  </si>
  <si>
    <t>2012-03-13</t>
  </si>
  <si>
    <t>US FDA Regulation
Food: Labelling and Nutritional Overview</t>
  </si>
  <si>
    <t xml:space="preserve">11/26/2014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</si>
</sst>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70C0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  <font>
      <sz val="10"/>
      <color theme="4" tint="-0.499984740745262"/>
      <name val="Calibri"/>
      <family val="2"/>
    </font>
    <font>
      <sz val="12"/>
      <color rgb="FFC00000"/>
      <name val="Calibri"/>
      <family val="2"/>
    </font>
    <font>
      <b/>
      <sz val="10"/>
      <color theme="1"/>
      <name val="Calibri"/>
      <family val="2"/>
    </font>
    <font>
      <b/>
      <sz val="10"/>
      <color rgb="FF0B5394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theme="10"/>
      <name val="Calibri"/>
      <family val="2"/>
    </font>
    <font>
      <b/>
      <sz val="10"/>
      <name val="Calibri"/>
      <family val="2"/>
    </font>
    <font>
      <b/>
      <u/>
      <sz val="10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</font>
    <font>
      <sz val="10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EAF1DD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BE5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6"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12" fillId="5" borderId="0" xfId="0" applyFont="1" applyFill="1"/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/>
    <xf numFmtId="0" fontId="18" fillId="5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9" fillId="0" borderId="1" xfId="1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15" fontId="11" fillId="0" borderId="1" xfId="0" quotePrefix="1" applyNumberFormat="1" applyFont="1" applyBorder="1" applyAlignment="1">
      <alignment horizontal="left" vertical="center" wrapText="1"/>
    </xf>
    <xf numFmtId="15" fontId="11" fillId="0" borderId="1" xfId="0" applyNumberFormat="1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vertical="top" wrapText="1"/>
    </xf>
    <xf numFmtId="0" fontId="0" fillId="0" borderId="1" xfId="0" applyBorder="1"/>
    <xf numFmtId="0" fontId="15" fillId="9" borderId="1" xfId="0" applyFont="1" applyFill="1" applyBorder="1" applyAlignment="1">
      <alignment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11" fillId="11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vertical="top" wrapText="1"/>
    </xf>
    <xf numFmtId="0" fontId="11" fillId="12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vertical="center" wrapText="1"/>
    </xf>
    <xf numFmtId="0" fontId="0" fillId="13" borderId="1" xfId="0" applyFill="1" applyBorder="1"/>
    <xf numFmtId="0" fontId="11" fillId="14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top" wrapText="1"/>
    </xf>
    <xf numFmtId="0" fontId="4" fillId="0" borderId="1" xfId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18" fillId="11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vertical="top" wrapText="1"/>
    </xf>
    <xf numFmtId="0" fontId="18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1" fillId="19" borderId="1" xfId="0" applyFont="1" applyFill="1" applyBorder="1" applyAlignment="1">
      <alignment horizontal="left" vertical="center" wrapText="1"/>
    </xf>
    <xf numFmtId="0" fontId="11" fillId="20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styles" Target="styles.xml"/><Relationship Id="rId79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customXml" Target="../customXml/item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theme" Target="theme/theme1.xml"/><Relationship Id="rId78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file:///C:\Users\Siva\Desktop\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5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6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7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8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8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9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2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2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3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3B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4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5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A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B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D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7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25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8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9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20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21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22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23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24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26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66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27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28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29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30A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30B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30C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31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32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33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34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36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null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39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45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48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41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42A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42B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42C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43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47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50A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51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52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55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64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67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68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69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7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%20RC-40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A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B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B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"/>
    </sheetNames>
    <sheetDataSet>
      <sheetData sheetId="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B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A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B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C"/>
    </sheetNames>
    <sheetDataSet>
      <sheetData sheetId="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D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"/>
    </sheet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5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"/>
    </sheetNames>
    <sheetDataSet>
      <sheetData sheetId="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"/>
    </sheetNames>
    <sheetDataSet>
      <sheetData sheetId="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</sheetNames>
    <sheetDataSet>
      <sheetData sheetId="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1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"/>
    </sheetNames>
    <sheetDataSet>
      <sheetData sheetId="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"/>
    </sheetNames>
    <sheetDataSet>
      <sheetData sheetId="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6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6"/>
    </sheetNames>
    <sheetDataSet>
      <sheetData sheetId="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"/>
    </sheetNames>
    <sheetDataSet>
      <sheetData sheetId="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"/>
    </sheetNames>
    <sheetDataSet>
      <sheetData sheetId="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A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B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C"/>
    </sheetNames>
    <sheetDataSet>
      <sheetData sheetId="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"/>
    </sheetNames>
    <sheetDataSet>
      <sheetData sheetId="0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2"/>
    </sheetNames>
    <sheetDataSet>
      <sheetData sheetId="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"/>
    </sheetNames>
    <sheetDataSet>
      <sheetData sheetId="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4"/>
    </sheetNames>
    <sheetDataSet>
      <sheetData sheetId="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6"/>
    </sheetNames>
    <sheetDataSet>
      <sheetData sheetId="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ll"/>
    </sheetNames>
    <sheetDataSet>
      <sheetData sheetId="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9"/>
    </sheetNames>
    <sheetDataSet>
      <sheetData sheetId="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5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8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2A"/>
    </sheetNames>
    <sheetDataSet>
      <sheetData sheetId="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2B"/>
    </sheetNames>
    <sheetDataSet>
      <sheetData sheetId="0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2C"/>
    </sheet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3"/>
    </sheetNames>
    <sheetDataSet>
      <sheetData sheetId="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7"/>
    </sheetNames>
    <sheetDataSet>
      <sheetData sheetId="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A"/>
    </sheetNames>
    <sheetDataSet>
      <sheetData sheetId="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1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2"/>
    </sheetNames>
    <sheetDataSet>
      <sheetData sheetId="0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5"/>
    </sheetNames>
    <sheetDataSet>
      <sheetData sheetId="0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4"/>
    </sheetNames>
    <sheetDataSet>
      <sheetData sheetId="0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7"/>
    </sheetNames>
    <sheetDataSet>
      <sheetData sheetId="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8"/>
    </sheetNames>
    <sheetDataSet>
      <sheetData sheetId="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9"/>
    </sheetNames>
    <sheetDataSet>
      <sheetData sheetId="0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4"/>
    </sheetNames>
    <sheetDataSet>
      <sheetData sheetId="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C-40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IobiFLBg7LCdamOqDqt_6-qBNMVgCb-vB1tYGKp_V9s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C6AF-81AD-40C9-AB91-3084B2E4B36A}">
  <sheetPr>
    <tabColor rgb="FF7030A0"/>
  </sheetPr>
  <dimension ref="A1:G186"/>
  <sheetViews>
    <sheetView tabSelected="1" zoomScaleNormal="100" zoomScalePageLayoutView="133" workbookViewId="0">
      <pane ySplit="1" topLeftCell="A60" activePane="bottomLeft" state="frozen"/>
      <selection pane="bottomLeft" activeCell="F68" sqref="F68"/>
    </sheetView>
  </sheetViews>
  <sheetFormatPr defaultColWidth="14.42578125" defaultRowHeight="15" customHeight="1"/>
  <cols>
    <col min="1" max="1" width="32" style="13" customWidth="1"/>
    <col min="2" max="2" width="11.140625" style="8" customWidth="1"/>
    <col min="3" max="3" width="30.5703125" style="13" customWidth="1"/>
    <col min="4" max="4" width="22.140625" style="13" customWidth="1"/>
    <col min="5" max="5" width="28.42578125" style="13" customWidth="1"/>
    <col min="6" max="6" width="42.85546875" customWidth="1"/>
  </cols>
  <sheetData>
    <row r="1" spans="1:6" ht="26.1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35" t="s">
        <v>5</v>
      </c>
    </row>
    <row r="2" spans="1:6" ht="20.100000000000001" customHeight="1">
      <c r="A2" s="72" t="s">
        <v>6</v>
      </c>
      <c r="B2" s="73"/>
      <c r="C2" s="73"/>
      <c r="D2" s="73"/>
      <c r="E2" s="73"/>
      <c r="F2" s="74"/>
    </row>
    <row r="3" spans="1:6" ht="24.95" customHeight="1">
      <c r="A3" s="14" t="str">
        <f>HYPERLINK("https://drive.google.com/open?id=1TcMXj3FpuG7HpGDSZgLxS3ux6Nj5R7XO","HACCP PLAN: Cooked")</f>
        <v>HACCP PLAN: Cooked</v>
      </c>
      <c r="B3" s="1" t="s">
        <v>7</v>
      </c>
      <c r="C3" s="10" t="s">
        <v>8</v>
      </c>
      <c r="D3" s="10" t="s">
        <v>9</v>
      </c>
      <c r="E3" s="10" t="s">
        <v>10</v>
      </c>
      <c r="F3" s="30"/>
    </row>
    <row r="4" spans="1:6" ht="24.95" customHeight="1">
      <c r="A4" s="14" t="s">
        <v>11</v>
      </c>
      <c r="B4" s="1" t="s">
        <v>12</v>
      </c>
      <c r="C4" s="10" t="s">
        <v>8</v>
      </c>
      <c r="D4" s="10" t="s">
        <v>9</v>
      </c>
      <c r="E4" s="48" t="s">
        <v>13</v>
      </c>
      <c r="F4" s="30"/>
    </row>
    <row r="5" spans="1:6" ht="24.95" customHeight="1">
      <c r="A5" s="14" t="s">
        <v>11</v>
      </c>
      <c r="B5" s="1" t="s">
        <v>14</v>
      </c>
      <c r="C5" s="10" t="s">
        <v>8</v>
      </c>
      <c r="D5" s="10" t="s">
        <v>9</v>
      </c>
      <c r="E5" s="48" t="s">
        <v>15</v>
      </c>
      <c r="F5" s="30" t="s">
        <v>16</v>
      </c>
    </row>
    <row r="6" spans="1:6" ht="24.95" customHeight="1">
      <c r="A6" s="14" t="s">
        <v>11</v>
      </c>
      <c r="B6" s="1" t="s">
        <v>17</v>
      </c>
      <c r="C6" s="10" t="s">
        <v>8</v>
      </c>
      <c r="D6" s="10" t="s">
        <v>9</v>
      </c>
      <c r="E6" s="48" t="s">
        <v>18</v>
      </c>
      <c r="F6" s="30" t="s">
        <v>16</v>
      </c>
    </row>
    <row r="7" spans="1:6" ht="24.95" customHeight="1">
      <c r="A7" s="14" t="s">
        <v>11</v>
      </c>
      <c r="B7" s="1" t="s">
        <v>19</v>
      </c>
      <c r="C7" s="10" t="s">
        <v>8</v>
      </c>
      <c r="D7" s="10" t="s">
        <v>9</v>
      </c>
      <c r="E7" s="48" t="s">
        <v>20</v>
      </c>
      <c r="F7" s="30"/>
    </row>
    <row r="8" spans="1:6" ht="24.95" customHeight="1">
      <c r="A8" s="14" t="s">
        <v>11</v>
      </c>
      <c r="B8" s="1" t="s">
        <v>21</v>
      </c>
      <c r="C8" s="10" t="s">
        <v>8</v>
      </c>
      <c r="D8" s="10" t="s">
        <v>9</v>
      </c>
      <c r="E8" s="48" t="s">
        <v>22</v>
      </c>
      <c r="F8" s="30"/>
    </row>
    <row r="9" spans="1:6" ht="24.95" customHeight="1">
      <c r="A9" s="14" t="str">
        <f>HYPERLINK("https://drive.google.com/open?id=10kIvYQBuMLfjbf5DJks5RaSnGGcoo4r_","HACCP PLAN: Fermented/ Acidified")</f>
        <v>HACCP PLAN: Fermented/ Acidified</v>
      </c>
      <c r="B9" s="1" t="s">
        <v>7</v>
      </c>
      <c r="C9" s="10" t="s">
        <v>8</v>
      </c>
      <c r="D9" s="10" t="s">
        <v>9</v>
      </c>
      <c r="E9" s="10" t="s">
        <v>10</v>
      </c>
      <c r="F9" s="30"/>
    </row>
    <row r="10" spans="1:6" ht="24.95" customHeight="1">
      <c r="A10" s="14"/>
      <c r="B10" s="1" t="s">
        <v>23</v>
      </c>
      <c r="C10" s="10"/>
      <c r="D10" s="10"/>
      <c r="E10" s="10"/>
      <c r="F10" s="30"/>
    </row>
    <row r="11" spans="1:6" ht="24.95" customHeight="1">
      <c r="A11" s="14" t="str">
        <f>HYPERLINK("https://drive.google.com/open?id=10kIvYQBuMLfjbf5DJks5RaSnGGcoo4r_","HACCP PLAN: Fermented/ Acidified")</f>
        <v>HACCP PLAN: Fermented/ Acidified</v>
      </c>
      <c r="B11" s="1" t="s">
        <v>19</v>
      </c>
      <c r="C11" s="10" t="s">
        <v>8</v>
      </c>
      <c r="D11" s="10" t="s">
        <v>9</v>
      </c>
      <c r="E11" s="48" t="s">
        <v>24</v>
      </c>
      <c r="F11" s="30"/>
    </row>
    <row r="12" spans="1:6" ht="24.95" customHeight="1">
      <c r="A12" s="14" t="str">
        <f>HYPERLINK("https://drive.google.com/open?id=10kIvYQBuMLfjbf5DJks5RaSnGGcoo4r_","HACCP PLAN: Fermented/ Acidified")</f>
        <v>HACCP PLAN: Fermented/ Acidified</v>
      </c>
      <c r="B12" s="1" t="s">
        <v>25</v>
      </c>
      <c r="C12" s="10" t="s">
        <v>8</v>
      </c>
      <c r="D12" s="10" t="s">
        <v>9</v>
      </c>
      <c r="E12" s="48" t="s">
        <v>22</v>
      </c>
      <c r="F12" s="30"/>
    </row>
    <row r="13" spans="1:6" ht="24.95" customHeight="1">
      <c r="A13" s="14" t="str">
        <f>HYPERLINK("https://drive.google.com/open?id=1BE7002-mmqHdTfxXuY0kBwKZzUSleSTi","HACCP PLAN: Jerky")</f>
        <v>HACCP PLAN: Jerky</v>
      </c>
      <c r="B13" s="1" t="s">
        <v>7</v>
      </c>
      <c r="C13" s="10" t="s">
        <v>8</v>
      </c>
      <c r="D13" s="10" t="s">
        <v>9</v>
      </c>
      <c r="E13" s="10" t="s">
        <v>10</v>
      </c>
      <c r="F13" s="30"/>
    </row>
    <row r="14" spans="1:6" ht="24.95" customHeight="1">
      <c r="A14" s="14" t="str">
        <f>HYPERLINK("https://drive.google.com/open?id=1BE7002-mmqHdTfxXuY0kBwKZzUSleSTi","HACCP PLAN: Jerky")</f>
        <v>HACCP PLAN: Jerky</v>
      </c>
      <c r="B14" s="1" t="s">
        <v>19</v>
      </c>
      <c r="C14" s="10" t="s">
        <v>8</v>
      </c>
      <c r="D14" s="10" t="s">
        <v>9</v>
      </c>
      <c r="E14" s="48" t="s">
        <v>26</v>
      </c>
      <c r="F14" s="30"/>
    </row>
    <row r="15" spans="1:6" ht="24.95" customHeight="1">
      <c r="A15" s="14" t="str">
        <f>HYPERLINK("https://drive.google.com/open?id=1BE7002-mmqHdTfxXuY0kBwKZzUSleSTi","HACCP PLAN: Jerky")</f>
        <v>HACCP PLAN: Jerky</v>
      </c>
      <c r="B15" s="1" t="s">
        <v>27</v>
      </c>
      <c r="C15" s="10" t="s">
        <v>8</v>
      </c>
      <c r="D15" s="10" t="s">
        <v>9</v>
      </c>
      <c r="E15" s="48" t="s">
        <v>28</v>
      </c>
      <c r="F15" s="30"/>
    </row>
    <row r="16" spans="1:6" ht="24.95" customHeight="1">
      <c r="A16" s="14" t="str">
        <f>HYPERLINK("https://drive.google.com/open?id=1a4qmF3X4N7rHYZF-Zn_DrhMCyEgz-qhb","Pre-requisite Programs")</f>
        <v>Pre-requisite Programs</v>
      </c>
      <c r="B16" s="1" t="s">
        <v>7</v>
      </c>
      <c r="C16" s="10" t="s">
        <v>8</v>
      </c>
      <c r="D16" s="10" t="s">
        <v>9</v>
      </c>
      <c r="E16" s="10" t="s">
        <v>10</v>
      </c>
      <c r="F16" s="30"/>
    </row>
    <row r="17" spans="1:6" ht="24.95" customHeight="1">
      <c r="A17" s="14" t="str">
        <f>HYPERLINK("https://drive.google.com/open?id=1yAX1qPeX3uYQx0aM6iNitgksexmsooT8","Manuals")</f>
        <v>Manuals</v>
      </c>
      <c r="B17" s="1" t="s">
        <v>7</v>
      </c>
      <c r="C17" s="10" t="s">
        <v>8</v>
      </c>
      <c r="D17" s="10" t="s">
        <v>9</v>
      </c>
      <c r="E17" s="10" t="s">
        <v>10</v>
      </c>
      <c r="F17" s="29"/>
    </row>
    <row r="18" spans="1:6" ht="24.95" customHeight="1">
      <c r="A18" s="14" t="s">
        <v>29</v>
      </c>
      <c r="B18" s="1" t="s">
        <v>30</v>
      </c>
      <c r="C18" s="10" t="s">
        <v>8</v>
      </c>
      <c r="D18" s="10" t="s">
        <v>9</v>
      </c>
      <c r="E18" s="48" t="s">
        <v>31</v>
      </c>
      <c r="F18" s="29"/>
    </row>
    <row r="19" spans="1:6" ht="24.95" customHeight="1">
      <c r="A19" s="14" t="s">
        <v>32</v>
      </c>
      <c r="B19" s="1" t="s">
        <v>33</v>
      </c>
      <c r="C19" s="10" t="s">
        <v>8</v>
      </c>
      <c r="D19" s="10" t="s">
        <v>9</v>
      </c>
      <c r="E19" s="48" t="s">
        <v>34</v>
      </c>
      <c r="F19" s="29"/>
    </row>
    <row r="20" spans="1:6" ht="24.95" customHeight="1">
      <c r="A20" s="14" t="str">
        <f>HYPERLINK("https://drive.google.com/open?id=1GqGE0MI12moRQPl2YgglrKok9CTi26h5","HACCP Validation ")</f>
        <v xml:space="preserve">HACCP Validation </v>
      </c>
      <c r="B20" s="1" t="s">
        <v>7</v>
      </c>
      <c r="C20" s="10" t="s">
        <v>8</v>
      </c>
      <c r="D20" s="10" t="s">
        <v>9</v>
      </c>
      <c r="E20" s="10" t="s">
        <v>10</v>
      </c>
      <c r="F20" s="29"/>
    </row>
    <row r="21" spans="1:6" ht="24.95" customHeight="1">
      <c r="A21" s="14" t="s">
        <v>35</v>
      </c>
      <c r="B21" s="1" t="s">
        <v>7</v>
      </c>
      <c r="C21" s="10" t="s">
        <v>8</v>
      </c>
      <c r="D21" s="10" t="s">
        <v>9</v>
      </c>
      <c r="E21" s="10" t="s">
        <v>36</v>
      </c>
      <c r="F21" s="29"/>
    </row>
    <row r="22" spans="1:6" ht="24.95" customHeight="1">
      <c r="A22" s="14" t="s">
        <v>37</v>
      </c>
      <c r="B22" s="1" t="s">
        <v>7</v>
      </c>
      <c r="C22" s="10" t="s">
        <v>38</v>
      </c>
      <c r="D22" s="43" t="s">
        <v>39</v>
      </c>
      <c r="E22" s="48" t="s">
        <v>40</v>
      </c>
      <c r="F22" s="29"/>
    </row>
    <row r="23" spans="1:6" ht="24.95" customHeight="1">
      <c r="A23" s="51" t="s">
        <v>41</v>
      </c>
      <c r="B23" s="52" t="s">
        <v>42</v>
      </c>
      <c r="C23" s="10" t="s">
        <v>38</v>
      </c>
      <c r="D23" s="43" t="s">
        <v>39</v>
      </c>
      <c r="E23" s="48" t="s">
        <v>43</v>
      </c>
      <c r="F23" s="49"/>
    </row>
    <row r="24" spans="1:6" ht="24.95" customHeight="1">
      <c r="A24" s="14" t="s">
        <v>44</v>
      </c>
      <c r="B24" s="1" t="s">
        <v>45</v>
      </c>
      <c r="C24" s="10" t="s">
        <v>8</v>
      </c>
      <c r="D24" s="10" t="s">
        <v>9</v>
      </c>
      <c r="E24" s="10" t="s">
        <v>46</v>
      </c>
      <c r="F24" s="29"/>
    </row>
    <row r="25" spans="1:6" ht="24.95" customHeight="1">
      <c r="A25" s="14" t="s">
        <v>47</v>
      </c>
      <c r="B25" s="1" t="s">
        <v>48</v>
      </c>
      <c r="C25" s="10" t="s">
        <v>8</v>
      </c>
      <c r="D25" s="10" t="s">
        <v>9</v>
      </c>
      <c r="E25" s="55" t="s">
        <v>49</v>
      </c>
      <c r="F25" s="49"/>
    </row>
    <row r="26" spans="1:6" ht="24.95" customHeight="1">
      <c r="A26" s="51"/>
      <c r="B26" s="52"/>
      <c r="C26" s="53"/>
      <c r="D26" s="54"/>
      <c r="E26" s="53"/>
      <c r="F26" s="49"/>
    </row>
    <row r="27" spans="1:6" ht="20.100000000000001" customHeight="1">
      <c r="A27" s="69" t="s">
        <v>50</v>
      </c>
      <c r="B27" s="70"/>
      <c r="C27" s="70"/>
      <c r="D27" s="70"/>
      <c r="E27" s="70"/>
      <c r="F27" s="71"/>
    </row>
    <row r="28" spans="1:6" ht="20.100000000000001" customHeight="1">
      <c r="A28" s="36"/>
      <c r="B28" s="37"/>
      <c r="C28" s="37"/>
      <c r="D28" s="37"/>
      <c r="E28" s="37"/>
      <c r="F28" s="38"/>
    </row>
    <row r="29" spans="1:6" ht="24.95" customHeight="1">
      <c r="A29" s="9" t="s">
        <v>51</v>
      </c>
      <c r="B29" s="17" t="s">
        <v>52</v>
      </c>
      <c r="C29" s="9" t="s">
        <v>53</v>
      </c>
      <c r="D29" s="9" t="s">
        <v>54</v>
      </c>
      <c r="E29" s="58" t="s">
        <v>55</v>
      </c>
      <c r="F29" s="30"/>
    </row>
    <row r="30" spans="1:6" ht="24.95" customHeight="1">
      <c r="A30" s="9" t="s">
        <v>56</v>
      </c>
      <c r="B30" s="17" t="s">
        <v>57</v>
      </c>
      <c r="C30" s="9" t="s">
        <v>58</v>
      </c>
      <c r="D30" s="9" t="s">
        <v>59</v>
      </c>
      <c r="E30" s="58" t="s">
        <v>60</v>
      </c>
      <c r="F30" s="30"/>
    </row>
    <row r="31" spans="1:6" ht="24.95" customHeight="1">
      <c r="A31" s="11" t="s">
        <v>61</v>
      </c>
      <c r="B31" s="7" t="s">
        <v>62</v>
      </c>
      <c r="C31" s="10" t="s">
        <v>63</v>
      </c>
      <c r="D31" s="10" t="s">
        <v>64</v>
      </c>
      <c r="E31" s="58" t="s">
        <v>65</v>
      </c>
      <c r="F31" s="30" t="s">
        <v>66</v>
      </c>
    </row>
    <row r="32" spans="1:6" ht="24.95" customHeight="1">
      <c r="A32" s="11" t="s">
        <v>67</v>
      </c>
      <c r="B32" s="7" t="s">
        <v>68</v>
      </c>
      <c r="C32" s="10" t="s">
        <v>69</v>
      </c>
      <c r="D32" s="10" t="s">
        <v>64</v>
      </c>
      <c r="E32" s="58" t="s">
        <v>70</v>
      </c>
      <c r="F32" s="31"/>
    </row>
    <row r="33" spans="1:6" ht="24.95" customHeight="1">
      <c r="A33" s="10" t="s">
        <v>71</v>
      </c>
      <c r="B33" s="7" t="s">
        <v>72</v>
      </c>
      <c r="C33" s="10" t="s">
        <v>73</v>
      </c>
      <c r="D33" s="10" t="s">
        <v>64</v>
      </c>
      <c r="E33" s="58" t="s">
        <v>74</v>
      </c>
      <c r="F33" s="29"/>
    </row>
    <row r="34" spans="1:6" ht="24.95" customHeight="1">
      <c r="A34" s="11" t="s">
        <v>75</v>
      </c>
      <c r="B34" s="7" t="s">
        <v>76</v>
      </c>
      <c r="C34" s="10" t="s">
        <v>63</v>
      </c>
      <c r="D34" s="10" t="s">
        <v>64</v>
      </c>
      <c r="E34" s="58" t="s">
        <v>65</v>
      </c>
      <c r="F34" s="30" t="s">
        <v>66</v>
      </c>
    </row>
    <row r="35" spans="1:6" ht="24.95" customHeight="1">
      <c r="A35" s="10" t="s">
        <v>77</v>
      </c>
      <c r="B35" s="7" t="s">
        <v>78</v>
      </c>
      <c r="C35" s="10" t="s">
        <v>69</v>
      </c>
      <c r="D35" s="10" t="s">
        <v>64</v>
      </c>
      <c r="E35" s="58" t="s">
        <v>79</v>
      </c>
      <c r="F35" s="29"/>
    </row>
    <row r="36" spans="1:6" ht="24.95" customHeight="1">
      <c r="A36" s="10" t="s">
        <v>80</v>
      </c>
      <c r="B36" s="7" t="s">
        <v>81</v>
      </c>
      <c r="C36" s="10" t="s">
        <v>73</v>
      </c>
      <c r="D36" s="10" t="s">
        <v>64</v>
      </c>
      <c r="E36" s="58" t="s">
        <v>82</v>
      </c>
      <c r="F36" s="29"/>
    </row>
    <row r="37" spans="1:6" ht="24.95" customHeight="1">
      <c r="A37" s="10" t="s">
        <v>83</v>
      </c>
      <c r="B37" s="7" t="s">
        <v>84</v>
      </c>
      <c r="C37" s="10" t="s">
        <v>85</v>
      </c>
      <c r="D37" s="10" t="s">
        <v>86</v>
      </c>
      <c r="E37" s="58" t="s">
        <v>87</v>
      </c>
      <c r="F37" s="30"/>
    </row>
    <row r="38" spans="1:6" ht="24.95" customHeight="1">
      <c r="A38" s="11" t="s">
        <v>88</v>
      </c>
      <c r="B38" s="7" t="s">
        <v>89</v>
      </c>
      <c r="C38" s="10" t="s">
        <v>90</v>
      </c>
      <c r="D38" s="10" t="s">
        <v>86</v>
      </c>
      <c r="E38" s="58" t="s">
        <v>91</v>
      </c>
      <c r="F38" s="29"/>
    </row>
    <row r="39" spans="1:6" ht="24.95" customHeight="1">
      <c r="A39" s="11" t="s">
        <v>92</v>
      </c>
      <c r="B39" s="7" t="s">
        <v>93</v>
      </c>
      <c r="C39" s="10" t="s">
        <v>94</v>
      </c>
      <c r="D39" s="10" t="s">
        <v>95</v>
      </c>
      <c r="E39" s="58" t="s">
        <v>96</v>
      </c>
      <c r="F39" s="29"/>
    </row>
    <row r="40" spans="1:6" ht="20.100000000000001" customHeight="1">
      <c r="A40" s="75" t="s">
        <v>97</v>
      </c>
      <c r="B40" s="76"/>
      <c r="C40" s="76"/>
      <c r="D40" s="76"/>
      <c r="E40" s="76"/>
      <c r="F40" s="77"/>
    </row>
    <row r="41" spans="1:6" ht="24.95" customHeight="1">
      <c r="A41" s="10" t="s">
        <v>98</v>
      </c>
      <c r="B41" s="7" t="s">
        <v>99</v>
      </c>
      <c r="C41" s="10" t="s">
        <v>100</v>
      </c>
      <c r="D41" s="10" t="s">
        <v>101</v>
      </c>
      <c r="E41" s="10" t="s">
        <v>102</v>
      </c>
      <c r="F41" s="29" t="s">
        <v>103</v>
      </c>
    </row>
    <row r="42" spans="1:6" ht="24.95" customHeight="1">
      <c r="A42" s="10" t="s">
        <v>104</v>
      </c>
      <c r="B42" s="7" t="s">
        <v>105</v>
      </c>
      <c r="C42" s="10" t="s">
        <v>100</v>
      </c>
      <c r="D42" s="10" t="s">
        <v>64</v>
      </c>
      <c r="E42" s="10" t="s">
        <v>102</v>
      </c>
      <c r="F42" s="29" t="s">
        <v>103</v>
      </c>
    </row>
    <row r="43" spans="1:6" ht="24.95" customHeight="1">
      <c r="A43" s="10" t="s">
        <v>106</v>
      </c>
      <c r="B43" s="7" t="s">
        <v>107</v>
      </c>
      <c r="C43" s="10" t="s">
        <v>108</v>
      </c>
      <c r="D43" s="10" t="s">
        <v>64</v>
      </c>
      <c r="E43" s="58" t="s">
        <v>109</v>
      </c>
      <c r="F43" s="60" t="s">
        <v>103</v>
      </c>
    </row>
    <row r="44" spans="1:6" ht="24.95" customHeight="1">
      <c r="A44" s="10" t="s">
        <v>110</v>
      </c>
      <c r="B44" s="7" t="str">
        <f>HYPERLINK("https://docs.google.com/spreadsheets/d/18jimc-EQg2CZ43oTIf70yfkNG4x2CBvIgNDZCPbbiSI/edit#gid=423573207","RC-10")</f>
        <v>RC-10</v>
      </c>
      <c r="C44" s="10" t="s">
        <v>111</v>
      </c>
      <c r="D44" s="10" t="s">
        <v>112</v>
      </c>
      <c r="E44" s="59" t="s">
        <v>113</v>
      </c>
      <c r="F44" s="29"/>
    </row>
    <row r="45" spans="1:6" ht="24.95" customHeight="1">
      <c r="A45" s="10" t="s">
        <v>114</v>
      </c>
      <c r="B45" s="7" t="s">
        <v>115</v>
      </c>
      <c r="C45" s="10" t="s">
        <v>111</v>
      </c>
      <c r="D45" s="10" t="s">
        <v>112</v>
      </c>
      <c r="E45" s="59" t="s">
        <v>113</v>
      </c>
      <c r="F45" s="29"/>
    </row>
    <row r="46" spans="1:6" ht="24.95" customHeight="1">
      <c r="A46" s="10" t="s">
        <v>116</v>
      </c>
      <c r="B46" s="7" t="s">
        <v>117</v>
      </c>
      <c r="C46" s="10" t="s">
        <v>111</v>
      </c>
      <c r="D46" s="10" t="s">
        <v>112</v>
      </c>
      <c r="E46" s="59" t="s">
        <v>113</v>
      </c>
      <c r="F46" s="29"/>
    </row>
    <row r="47" spans="1:6" ht="24.95" customHeight="1">
      <c r="A47" s="10" t="s">
        <v>118</v>
      </c>
      <c r="B47" s="7" t="s">
        <v>119</v>
      </c>
      <c r="C47" s="10" t="s">
        <v>111</v>
      </c>
      <c r="D47" s="10" t="s">
        <v>112</v>
      </c>
      <c r="E47" s="58" t="s">
        <v>113</v>
      </c>
      <c r="F47" s="29"/>
    </row>
    <row r="48" spans="1:6" ht="24.95" customHeight="1">
      <c r="A48" s="10" t="s">
        <v>120</v>
      </c>
      <c r="B48" s="7" t="s">
        <v>121</v>
      </c>
      <c r="C48" s="10" t="s">
        <v>111</v>
      </c>
      <c r="D48" s="10" t="s">
        <v>112</v>
      </c>
      <c r="E48" s="55" t="s">
        <v>122</v>
      </c>
      <c r="F48" s="29"/>
    </row>
    <row r="49" spans="1:6" ht="24.95" customHeight="1">
      <c r="A49" s="40" t="s">
        <v>123</v>
      </c>
      <c r="B49" s="57" t="s">
        <v>124</v>
      </c>
      <c r="C49" s="40" t="s">
        <v>111</v>
      </c>
      <c r="D49" s="40" t="s">
        <v>112</v>
      </c>
      <c r="E49" s="40" t="s">
        <v>125</v>
      </c>
      <c r="F49" s="29" t="s">
        <v>126</v>
      </c>
    </row>
    <row r="50" spans="1:6" ht="20.100000000000001" customHeight="1">
      <c r="A50" s="78" t="s">
        <v>127</v>
      </c>
      <c r="B50" s="79"/>
      <c r="C50" s="79"/>
      <c r="D50" s="79"/>
      <c r="E50" s="79"/>
      <c r="F50" s="80"/>
    </row>
    <row r="51" spans="1:6" ht="24.95" customHeight="1">
      <c r="A51" s="9" t="s">
        <v>128</v>
      </c>
      <c r="B51" s="18" t="s">
        <v>129</v>
      </c>
      <c r="C51" s="9" t="s">
        <v>111</v>
      </c>
      <c r="D51" s="9" t="s">
        <v>86</v>
      </c>
      <c r="E51" s="48" t="s">
        <v>130</v>
      </c>
      <c r="F51" s="29"/>
    </row>
    <row r="52" spans="1:6" ht="24.95" customHeight="1">
      <c r="A52" s="10" t="s">
        <v>131</v>
      </c>
      <c r="B52" s="7" t="s">
        <v>132</v>
      </c>
      <c r="C52" s="10" t="s">
        <v>133</v>
      </c>
      <c r="D52" s="10" t="s">
        <v>112</v>
      </c>
      <c r="E52" s="58" t="s">
        <v>134</v>
      </c>
      <c r="F52" s="29"/>
    </row>
    <row r="53" spans="1:6" ht="24.95" customHeight="1">
      <c r="A53" s="10" t="s">
        <v>135</v>
      </c>
      <c r="B53" s="7" t="s">
        <v>136</v>
      </c>
      <c r="C53" s="10" t="s">
        <v>133</v>
      </c>
      <c r="D53" s="10" t="s">
        <v>64</v>
      </c>
      <c r="E53" s="58" t="s">
        <v>137</v>
      </c>
      <c r="F53" s="29"/>
    </row>
    <row r="54" spans="1:6" ht="24.95" customHeight="1">
      <c r="A54" s="10" t="s">
        <v>138</v>
      </c>
      <c r="B54" s="7" t="s">
        <v>139</v>
      </c>
      <c r="C54" s="10" t="s">
        <v>140</v>
      </c>
      <c r="D54" s="10" t="s">
        <v>112</v>
      </c>
      <c r="E54" s="58" t="s">
        <v>141</v>
      </c>
      <c r="F54" s="29"/>
    </row>
    <row r="55" spans="1:6" ht="24.95" customHeight="1">
      <c r="A55" s="10" t="s">
        <v>142</v>
      </c>
      <c r="B55" s="7" t="s">
        <v>143</v>
      </c>
      <c r="C55" s="10" t="s">
        <v>140</v>
      </c>
      <c r="D55" s="10" t="s">
        <v>64</v>
      </c>
      <c r="E55" s="58" t="s">
        <v>144</v>
      </c>
      <c r="F55" s="29"/>
    </row>
    <row r="56" spans="1:6" s="2" customFormat="1" ht="24.95" customHeight="1">
      <c r="A56" s="9" t="s">
        <v>145</v>
      </c>
      <c r="B56" s="9" t="s">
        <v>146</v>
      </c>
      <c r="C56" s="9" t="s">
        <v>147</v>
      </c>
      <c r="D56" s="9" t="s">
        <v>86</v>
      </c>
      <c r="E56" s="58" t="s">
        <v>148</v>
      </c>
      <c r="F56" s="32"/>
    </row>
    <row r="57" spans="1:6" ht="24.95" customHeight="1">
      <c r="A57" s="10" t="s">
        <v>149</v>
      </c>
      <c r="B57" s="7" t="s">
        <v>150</v>
      </c>
      <c r="C57" s="10" t="s">
        <v>151</v>
      </c>
      <c r="D57" s="9" t="s">
        <v>86</v>
      </c>
      <c r="E57" s="58" t="s">
        <v>152</v>
      </c>
      <c r="F57" s="29"/>
    </row>
    <row r="58" spans="1:6" ht="24.95" customHeight="1">
      <c r="A58" s="10" t="s">
        <v>153</v>
      </c>
      <c r="B58" s="7" t="s">
        <v>154</v>
      </c>
      <c r="C58" s="10" t="s">
        <v>64</v>
      </c>
      <c r="D58" s="10" t="s">
        <v>155</v>
      </c>
      <c r="E58" s="58" t="s">
        <v>156</v>
      </c>
      <c r="F58" s="29"/>
    </row>
    <row r="59" spans="1:6" ht="24.95" customHeight="1">
      <c r="A59" s="63" t="s">
        <v>157</v>
      </c>
      <c r="B59" s="7" t="s">
        <v>158</v>
      </c>
      <c r="C59" s="10" t="s">
        <v>159</v>
      </c>
      <c r="D59" s="10" t="s">
        <v>155</v>
      </c>
      <c r="E59" s="63" t="s">
        <v>156</v>
      </c>
      <c r="F59" s="29" t="s">
        <v>160</v>
      </c>
    </row>
    <row r="60" spans="1:6" ht="24.95" customHeight="1">
      <c r="A60" s="10" t="s">
        <v>161</v>
      </c>
      <c r="B60" s="7" t="s">
        <v>162</v>
      </c>
      <c r="C60" s="10" t="s">
        <v>159</v>
      </c>
      <c r="D60" s="10" t="s">
        <v>155</v>
      </c>
      <c r="E60" s="55" t="s">
        <v>156</v>
      </c>
      <c r="F60" s="29"/>
    </row>
    <row r="61" spans="1:6" ht="24.95" customHeight="1">
      <c r="A61" s="9" t="s">
        <v>163</v>
      </c>
      <c r="B61" s="9" t="s">
        <v>164</v>
      </c>
      <c r="C61" s="9" t="s">
        <v>165</v>
      </c>
      <c r="D61" s="9" t="s">
        <v>166</v>
      </c>
      <c r="E61" s="55" t="s">
        <v>167</v>
      </c>
      <c r="F61" s="29"/>
    </row>
    <row r="62" spans="1:6" ht="24.95" customHeight="1">
      <c r="A62" s="9" t="s">
        <v>168</v>
      </c>
      <c r="B62" s="18" t="s">
        <v>169</v>
      </c>
      <c r="C62" s="9" t="s">
        <v>170</v>
      </c>
      <c r="D62" s="9" t="s">
        <v>166</v>
      </c>
      <c r="E62" s="55" t="s">
        <v>171</v>
      </c>
      <c r="F62" s="29"/>
    </row>
    <row r="63" spans="1:6" ht="24.95" customHeight="1">
      <c r="A63" s="11" t="s">
        <v>172</v>
      </c>
      <c r="B63" s="6" t="s">
        <v>173</v>
      </c>
      <c r="C63" s="11" t="s">
        <v>174</v>
      </c>
      <c r="D63" s="9" t="s">
        <v>166</v>
      </c>
      <c r="E63" s="55" t="s">
        <v>175</v>
      </c>
      <c r="F63" s="29"/>
    </row>
    <row r="64" spans="1:6" ht="24.95" customHeight="1">
      <c r="A64" s="11" t="s">
        <v>176</v>
      </c>
      <c r="B64" s="6" t="s">
        <v>177</v>
      </c>
      <c r="C64" s="11" t="s">
        <v>178</v>
      </c>
      <c r="D64" s="9" t="s">
        <v>166</v>
      </c>
      <c r="E64" s="55" t="s">
        <v>179</v>
      </c>
      <c r="F64" s="30"/>
    </row>
    <row r="65" spans="1:6" ht="24.95" customHeight="1">
      <c r="A65" s="11" t="s">
        <v>180</v>
      </c>
      <c r="B65" s="6" t="s">
        <v>181</v>
      </c>
      <c r="C65" s="11" t="s">
        <v>182</v>
      </c>
      <c r="D65" s="9" t="s">
        <v>183</v>
      </c>
      <c r="E65" s="55" t="s">
        <v>184</v>
      </c>
      <c r="F65" s="29"/>
    </row>
    <row r="66" spans="1:6" ht="24.95" customHeight="1">
      <c r="A66" s="11" t="s">
        <v>185</v>
      </c>
      <c r="B66" s="6" t="s">
        <v>186</v>
      </c>
      <c r="C66" s="11" t="s">
        <v>187</v>
      </c>
      <c r="D66" s="11" t="s">
        <v>188</v>
      </c>
      <c r="E66" s="48" t="s">
        <v>189</v>
      </c>
      <c r="F66" s="30"/>
    </row>
    <row r="67" spans="1:6" ht="24.95" customHeight="1">
      <c r="A67" s="10" t="s">
        <v>190</v>
      </c>
      <c r="B67" s="7" t="s">
        <v>191</v>
      </c>
      <c r="C67" s="10" t="s">
        <v>86</v>
      </c>
      <c r="D67" s="10" t="s">
        <v>192</v>
      </c>
      <c r="E67" s="55" t="s">
        <v>193</v>
      </c>
      <c r="F67" s="30"/>
    </row>
    <row r="68" spans="1:6" ht="24.95" customHeight="1">
      <c r="A68" s="10" t="s">
        <v>194</v>
      </c>
      <c r="B68" s="7" t="s">
        <v>195</v>
      </c>
      <c r="C68" s="10" t="s">
        <v>95</v>
      </c>
      <c r="D68" s="10" t="s">
        <v>192</v>
      </c>
      <c r="E68" s="48" t="s">
        <v>196</v>
      </c>
      <c r="F68" s="30"/>
    </row>
    <row r="69" spans="1:6" ht="24.95" customHeight="1">
      <c r="A69" s="10" t="s">
        <v>197</v>
      </c>
      <c r="B69" s="7" t="s">
        <v>198</v>
      </c>
      <c r="C69" s="10" t="s">
        <v>199</v>
      </c>
      <c r="D69" s="10" t="s">
        <v>200</v>
      </c>
      <c r="E69" s="48" t="s">
        <v>201</v>
      </c>
      <c r="F69" s="85"/>
    </row>
    <row r="70" spans="1:6" ht="20.100000000000001" customHeight="1">
      <c r="A70" s="78" t="s">
        <v>202</v>
      </c>
      <c r="B70" s="79"/>
      <c r="C70" s="79"/>
      <c r="D70" s="79"/>
      <c r="E70" s="79"/>
      <c r="F70" s="80"/>
    </row>
    <row r="71" spans="1:6" ht="24.95" customHeight="1">
      <c r="A71" s="11" t="s">
        <v>203</v>
      </c>
      <c r="B71" s="7" t="s">
        <v>204</v>
      </c>
      <c r="C71" s="10" t="s">
        <v>205</v>
      </c>
      <c r="D71" s="10" t="s">
        <v>206</v>
      </c>
      <c r="E71" s="55" t="s">
        <v>207</v>
      </c>
      <c r="F71" s="29"/>
    </row>
    <row r="72" spans="1:6" ht="24.95" customHeight="1">
      <c r="A72" s="11" t="s">
        <v>208</v>
      </c>
      <c r="B72" s="7" t="s">
        <v>209</v>
      </c>
      <c r="C72" s="10" t="s">
        <v>205</v>
      </c>
      <c r="D72" s="10" t="s">
        <v>206</v>
      </c>
      <c r="E72" s="55" t="s">
        <v>207</v>
      </c>
      <c r="F72" s="10"/>
    </row>
    <row r="73" spans="1:6" ht="24.95" customHeight="1">
      <c r="A73" s="11" t="s">
        <v>210</v>
      </c>
      <c r="B73" s="7" t="s">
        <v>211</v>
      </c>
      <c r="C73" s="10" t="s">
        <v>205</v>
      </c>
      <c r="D73" s="10" t="s">
        <v>206</v>
      </c>
      <c r="E73" s="65" t="s">
        <v>212</v>
      </c>
      <c r="F73" s="29"/>
    </row>
    <row r="74" spans="1:6" ht="24.95" customHeight="1">
      <c r="A74" s="11" t="s">
        <v>213</v>
      </c>
      <c r="B74" s="7" t="s">
        <v>214</v>
      </c>
      <c r="C74" s="10" t="s">
        <v>215</v>
      </c>
      <c r="D74" s="9" t="s">
        <v>216</v>
      </c>
      <c r="E74" s="55" t="s">
        <v>217</v>
      </c>
      <c r="F74" s="29"/>
    </row>
    <row r="75" spans="1:6" ht="24.95" customHeight="1">
      <c r="A75" s="11" t="s">
        <v>218</v>
      </c>
      <c r="B75" s="7" t="s">
        <v>219</v>
      </c>
      <c r="C75" s="10" t="s">
        <v>205</v>
      </c>
      <c r="D75" s="9" t="s">
        <v>220</v>
      </c>
      <c r="E75" s="55" t="s">
        <v>221</v>
      </c>
      <c r="F75" s="29"/>
    </row>
    <row r="76" spans="1:6" ht="24.95" customHeight="1">
      <c r="A76" s="11" t="s">
        <v>222</v>
      </c>
      <c r="B76" s="7" t="s">
        <v>219</v>
      </c>
      <c r="C76" s="10" t="s">
        <v>205</v>
      </c>
      <c r="D76" s="9" t="s">
        <v>220</v>
      </c>
      <c r="E76" s="55" t="s">
        <v>221</v>
      </c>
      <c r="F76" s="29"/>
    </row>
    <row r="77" spans="1:6" ht="24.95" customHeight="1">
      <c r="A77" s="11" t="s">
        <v>223</v>
      </c>
      <c r="B77" s="7" t="s">
        <v>219</v>
      </c>
      <c r="C77" s="10" t="s">
        <v>205</v>
      </c>
      <c r="D77" s="9" t="s">
        <v>220</v>
      </c>
      <c r="E77" s="55" t="s">
        <v>221</v>
      </c>
      <c r="F77" s="29"/>
    </row>
    <row r="78" spans="1:6" ht="24.95" customHeight="1">
      <c r="A78" s="11" t="s">
        <v>224</v>
      </c>
      <c r="B78" s="7" t="s">
        <v>219</v>
      </c>
      <c r="C78" s="10" t="s">
        <v>205</v>
      </c>
      <c r="D78" s="9" t="s">
        <v>220</v>
      </c>
      <c r="E78" s="55" t="s">
        <v>221</v>
      </c>
      <c r="F78" s="29"/>
    </row>
    <row r="79" spans="1:6" ht="24.95" customHeight="1">
      <c r="A79" s="11" t="s">
        <v>225</v>
      </c>
      <c r="B79" s="7" t="s">
        <v>219</v>
      </c>
      <c r="C79" s="10" t="s">
        <v>205</v>
      </c>
      <c r="D79" s="9" t="s">
        <v>220</v>
      </c>
      <c r="E79" s="55" t="s">
        <v>226</v>
      </c>
      <c r="F79" s="29"/>
    </row>
    <row r="80" spans="1:6" ht="20.100000000000001" customHeight="1">
      <c r="A80" s="78" t="s">
        <v>227</v>
      </c>
      <c r="B80" s="79"/>
      <c r="C80" s="79"/>
      <c r="D80" s="79"/>
      <c r="E80" s="79"/>
      <c r="F80" s="80"/>
    </row>
    <row r="81" spans="1:6" ht="24.95" customHeight="1">
      <c r="A81" s="10" t="s">
        <v>228</v>
      </c>
      <c r="B81" s="7" t="s">
        <v>229</v>
      </c>
      <c r="C81" s="10" t="s">
        <v>230</v>
      </c>
      <c r="D81" s="10" t="s">
        <v>166</v>
      </c>
      <c r="E81" s="48" t="s">
        <v>231</v>
      </c>
      <c r="F81" s="30"/>
    </row>
    <row r="82" spans="1:6" ht="24.95" customHeight="1">
      <c r="A82" s="11" t="s">
        <v>232</v>
      </c>
      <c r="B82" s="7" t="s">
        <v>233</v>
      </c>
      <c r="C82" s="10" t="s">
        <v>230</v>
      </c>
      <c r="D82" s="10" t="s">
        <v>234</v>
      </c>
      <c r="E82" s="48" t="s">
        <v>235</v>
      </c>
      <c r="F82" s="30"/>
    </row>
    <row r="83" spans="1:6" ht="24.95" customHeight="1">
      <c r="A83" s="11" t="s">
        <v>236</v>
      </c>
      <c r="B83" s="7" t="s">
        <v>237</v>
      </c>
      <c r="C83" s="10" t="s">
        <v>230</v>
      </c>
      <c r="D83" s="10" t="s">
        <v>234</v>
      </c>
      <c r="E83" s="58" t="s">
        <v>238</v>
      </c>
      <c r="F83" s="30"/>
    </row>
    <row r="84" spans="1:6" ht="24.95" customHeight="1">
      <c r="A84" s="11" t="s">
        <v>239</v>
      </c>
      <c r="B84" s="7" t="s">
        <v>240</v>
      </c>
      <c r="C84" s="10" t="s">
        <v>241</v>
      </c>
      <c r="D84" s="10" t="s">
        <v>234</v>
      </c>
      <c r="E84" s="48" t="s">
        <v>242</v>
      </c>
      <c r="F84" s="30" t="s">
        <v>243</v>
      </c>
    </row>
    <row r="85" spans="1:6" ht="24.95" customHeight="1">
      <c r="A85" s="19" t="s">
        <v>244</v>
      </c>
      <c r="B85" s="20" t="s">
        <v>245</v>
      </c>
      <c r="C85" s="10" t="s">
        <v>241</v>
      </c>
      <c r="D85" s="10" t="s">
        <v>234</v>
      </c>
      <c r="E85" s="59" t="s">
        <v>246</v>
      </c>
      <c r="F85" s="30"/>
    </row>
    <row r="86" spans="1:6" ht="24.95" customHeight="1">
      <c r="A86" s="11" t="s">
        <v>247</v>
      </c>
      <c r="B86" s="7" t="s">
        <v>248</v>
      </c>
      <c r="C86" s="10" t="s">
        <v>249</v>
      </c>
      <c r="D86" s="10" t="s">
        <v>250</v>
      </c>
      <c r="E86" s="64" t="s">
        <v>251</v>
      </c>
      <c r="F86" s="30"/>
    </row>
    <row r="87" spans="1:6" ht="24.95" customHeight="1">
      <c r="A87" s="11" t="s">
        <v>252</v>
      </c>
      <c r="B87" s="7" t="s">
        <v>253</v>
      </c>
      <c r="C87" s="10" t="s">
        <v>254</v>
      </c>
      <c r="D87" s="10" t="s">
        <v>255</v>
      </c>
      <c r="E87" s="55" t="s">
        <v>256</v>
      </c>
      <c r="F87" s="30"/>
    </row>
    <row r="88" spans="1:6" ht="24.95" customHeight="1">
      <c r="A88" s="11" t="s">
        <v>257</v>
      </c>
      <c r="B88" s="6" t="s">
        <v>258</v>
      </c>
      <c r="C88" s="11" t="s">
        <v>259</v>
      </c>
      <c r="D88" s="11" t="s">
        <v>64</v>
      </c>
      <c r="E88" s="48" t="s">
        <v>260</v>
      </c>
      <c r="F88" s="30" t="s">
        <v>261</v>
      </c>
    </row>
    <row r="89" spans="1:6" ht="24.95" customHeight="1">
      <c r="A89" s="44" t="s">
        <v>262</v>
      </c>
      <c r="B89" s="6" t="s">
        <v>263</v>
      </c>
      <c r="C89" s="44" t="s">
        <v>259</v>
      </c>
      <c r="D89" s="44" t="s">
        <v>64</v>
      </c>
      <c r="E89" s="44" t="s">
        <v>264</v>
      </c>
      <c r="F89" s="45" t="s">
        <v>265</v>
      </c>
    </row>
    <row r="90" spans="1:6" ht="20.100000000000001" customHeight="1">
      <c r="A90" s="78" t="s">
        <v>266</v>
      </c>
      <c r="B90" s="79"/>
      <c r="C90" s="79"/>
      <c r="D90" s="79"/>
      <c r="E90" s="79"/>
      <c r="F90" s="80"/>
    </row>
    <row r="91" spans="1:6" ht="24.95" customHeight="1">
      <c r="A91" s="11" t="s">
        <v>267</v>
      </c>
      <c r="B91" s="7" t="s">
        <v>268</v>
      </c>
      <c r="C91" s="10" t="s">
        <v>269</v>
      </c>
      <c r="D91" s="10" t="s">
        <v>255</v>
      </c>
      <c r="E91" s="48" t="s">
        <v>270</v>
      </c>
      <c r="F91" s="29"/>
    </row>
    <row r="92" spans="1:6" ht="24.95" customHeight="1">
      <c r="A92" s="11" t="s">
        <v>271</v>
      </c>
      <c r="B92" s="7" t="s">
        <v>272</v>
      </c>
      <c r="C92" s="10" t="s">
        <v>269</v>
      </c>
      <c r="D92" s="10" t="s">
        <v>255</v>
      </c>
      <c r="E92" s="48" t="s">
        <v>270</v>
      </c>
      <c r="F92" s="29"/>
    </row>
    <row r="93" spans="1:6" ht="24.95" customHeight="1">
      <c r="A93" s="11" t="s">
        <v>273</v>
      </c>
      <c r="B93" s="7" t="s">
        <v>274</v>
      </c>
      <c r="C93" s="10" t="s">
        <v>275</v>
      </c>
      <c r="D93" s="10" t="s">
        <v>255</v>
      </c>
      <c r="E93" s="48" t="s">
        <v>276</v>
      </c>
      <c r="F93" s="29"/>
    </row>
    <row r="94" spans="1:6" ht="24.95" customHeight="1">
      <c r="A94" s="11" t="s">
        <v>277</v>
      </c>
      <c r="B94" s="7" t="s">
        <v>278</v>
      </c>
      <c r="C94" s="10" t="s">
        <v>275</v>
      </c>
      <c r="D94" s="10" t="s">
        <v>255</v>
      </c>
      <c r="E94" s="48" t="s">
        <v>279</v>
      </c>
      <c r="F94" s="29"/>
    </row>
    <row r="95" spans="1:6" ht="24.95" customHeight="1">
      <c r="A95" s="11" t="s">
        <v>280</v>
      </c>
      <c r="B95" s="7" t="s">
        <v>281</v>
      </c>
      <c r="C95" s="10" t="s">
        <v>282</v>
      </c>
      <c r="D95" s="10" t="s">
        <v>255</v>
      </c>
      <c r="E95" s="48" t="s">
        <v>283</v>
      </c>
      <c r="F95" s="29"/>
    </row>
    <row r="96" spans="1:6" ht="24.95" customHeight="1">
      <c r="A96" s="11" t="s">
        <v>284</v>
      </c>
      <c r="B96" s="7" t="s">
        <v>285</v>
      </c>
      <c r="C96" s="10" t="s">
        <v>282</v>
      </c>
      <c r="D96" s="10" t="s">
        <v>255</v>
      </c>
      <c r="E96" s="48" t="s">
        <v>283</v>
      </c>
      <c r="F96" s="29"/>
    </row>
    <row r="97" spans="1:6" ht="24.95" customHeight="1">
      <c r="A97" s="11" t="s">
        <v>286</v>
      </c>
      <c r="B97" s="7" t="s">
        <v>287</v>
      </c>
      <c r="C97" s="10" t="s">
        <v>282</v>
      </c>
      <c r="D97" s="10" t="s">
        <v>255</v>
      </c>
      <c r="E97" s="48" t="s">
        <v>283</v>
      </c>
      <c r="F97" s="29"/>
    </row>
    <row r="98" spans="1:6" ht="24.95" customHeight="1">
      <c r="A98" s="11" t="s">
        <v>288</v>
      </c>
      <c r="B98" s="7" t="s">
        <v>289</v>
      </c>
      <c r="C98" s="10" t="s">
        <v>282</v>
      </c>
      <c r="D98" s="10" t="s">
        <v>255</v>
      </c>
      <c r="E98" s="48" t="s">
        <v>283</v>
      </c>
      <c r="F98" s="29"/>
    </row>
    <row r="99" spans="1:6" ht="24.95" customHeight="1">
      <c r="A99" s="11" t="s">
        <v>290</v>
      </c>
      <c r="B99" s="7" t="s">
        <v>291</v>
      </c>
      <c r="C99" s="10" t="s">
        <v>282</v>
      </c>
      <c r="D99" s="10" t="s">
        <v>255</v>
      </c>
      <c r="E99" s="48" t="s">
        <v>283</v>
      </c>
      <c r="F99" s="29"/>
    </row>
    <row r="100" spans="1:6" ht="24.95" customHeight="1">
      <c r="A100" s="11" t="s">
        <v>292</v>
      </c>
      <c r="B100" s="7" t="s">
        <v>293</v>
      </c>
      <c r="C100" s="10" t="s">
        <v>282</v>
      </c>
      <c r="D100" s="10" t="s">
        <v>255</v>
      </c>
      <c r="E100" s="48" t="s">
        <v>294</v>
      </c>
      <c r="F100" s="29"/>
    </row>
    <row r="101" spans="1:6" ht="24.95" customHeight="1">
      <c r="A101" s="11" t="s">
        <v>295</v>
      </c>
      <c r="B101" s="7" t="s">
        <v>296</v>
      </c>
      <c r="C101" s="10" t="s">
        <v>297</v>
      </c>
      <c r="D101" s="10" t="s">
        <v>86</v>
      </c>
      <c r="E101" s="48" t="s">
        <v>298</v>
      </c>
      <c r="F101" s="29"/>
    </row>
    <row r="102" spans="1:6" ht="24.95" customHeight="1">
      <c r="A102" s="11" t="s">
        <v>299</v>
      </c>
      <c r="B102" s="7" t="s">
        <v>300</v>
      </c>
      <c r="C102" s="10" t="s">
        <v>301</v>
      </c>
      <c r="D102" s="10" t="s">
        <v>86</v>
      </c>
      <c r="E102" s="48" t="s">
        <v>270</v>
      </c>
      <c r="F102" s="29"/>
    </row>
    <row r="103" spans="1:6" ht="24.95" customHeight="1">
      <c r="A103" s="11" t="s">
        <v>302</v>
      </c>
      <c r="B103" s="7" t="s">
        <v>303</v>
      </c>
      <c r="C103" s="10" t="s">
        <v>304</v>
      </c>
      <c r="D103" s="10" t="s">
        <v>255</v>
      </c>
      <c r="E103" s="48" t="s">
        <v>270</v>
      </c>
      <c r="F103" s="29"/>
    </row>
    <row r="104" spans="1:6" ht="24.95" customHeight="1">
      <c r="A104" s="10" t="s">
        <v>305</v>
      </c>
      <c r="B104" s="7" t="s">
        <v>306</v>
      </c>
      <c r="C104" s="10" t="s">
        <v>304</v>
      </c>
      <c r="D104" s="10" t="s">
        <v>255</v>
      </c>
      <c r="E104" s="48" t="s">
        <v>270</v>
      </c>
      <c r="F104" s="29"/>
    </row>
    <row r="105" spans="1:6" ht="24.95" customHeight="1">
      <c r="A105" s="10" t="s">
        <v>307</v>
      </c>
      <c r="B105" s="7" t="str">
        <f>HYPERLINK("https://drive.google.com/open?id=17S25423f97_wf8gH_lL-zdE2TDRwx1AlI-R1oEeqMYU","RC-35")</f>
        <v>RC-35</v>
      </c>
      <c r="C105" s="10" t="s">
        <v>275</v>
      </c>
      <c r="D105" s="10" t="s">
        <v>255</v>
      </c>
      <c r="E105" s="55" t="s">
        <v>308</v>
      </c>
      <c r="F105" s="29"/>
    </row>
    <row r="106" spans="1:6" ht="24.95" customHeight="1">
      <c r="A106" s="10" t="s">
        <v>309</v>
      </c>
      <c r="B106" s="50" t="s">
        <v>310</v>
      </c>
      <c r="C106" s="10" t="s">
        <v>275</v>
      </c>
      <c r="D106" s="10" t="s">
        <v>255</v>
      </c>
      <c r="E106" s="55" t="s">
        <v>311</v>
      </c>
      <c r="F106" s="49"/>
    </row>
    <row r="107" spans="1:6" ht="24.95" customHeight="1">
      <c r="A107" s="10" t="s">
        <v>312</v>
      </c>
      <c r="B107" s="50" t="s">
        <v>313</v>
      </c>
      <c r="C107" s="10" t="s">
        <v>275</v>
      </c>
      <c r="D107" s="10" t="s">
        <v>255</v>
      </c>
      <c r="E107" s="55" t="s">
        <v>314</v>
      </c>
      <c r="F107" s="49"/>
    </row>
    <row r="108" spans="1:6" ht="20.100000000000001" customHeight="1">
      <c r="A108" s="82" t="s">
        <v>315</v>
      </c>
      <c r="B108" s="83"/>
      <c r="C108" s="83"/>
      <c r="D108" s="83"/>
      <c r="E108" s="83"/>
      <c r="F108" s="84"/>
    </row>
    <row r="109" spans="1:6" ht="24.95" customHeight="1">
      <c r="A109" s="10" t="s">
        <v>316</v>
      </c>
      <c r="B109" s="7" t="s">
        <v>317</v>
      </c>
      <c r="C109" s="10" t="s">
        <v>318</v>
      </c>
      <c r="D109" s="10" t="s">
        <v>64</v>
      </c>
      <c r="E109" s="48" t="s">
        <v>319</v>
      </c>
      <c r="F109" s="29"/>
    </row>
    <row r="110" spans="1:6" ht="24.95" customHeight="1">
      <c r="A110" s="40" t="s">
        <v>320</v>
      </c>
      <c r="B110" s="7" t="s">
        <v>321</v>
      </c>
      <c r="C110" s="40" t="s">
        <v>322</v>
      </c>
      <c r="D110" s="40" t="s">
        <v>64</v>
      </c>
      <c r="E110" s="40" t="s">
        <v>323</v>
      </c>
      <c r="F110" s="41" t="s">
        <v>324</v>
      </c>
    </row>
    <row r="111" spans="1:6" ht="24.95" customHeight="1">
      <c r="A111" s="11" t="s">
        <v>325</v>
      </c>
      <c r="B111" s="7" t="s">
        <v>326</v>
      </c>
      <c r="C111" s="10" t="s">
        <v>327</v>
      </c>
      <c r="D111" s="10" t="s">
        <v>64</v>
      </c>
      <c r="E111" s="48" t="s">
        <v>298</v>
      </c>
      <c r="F111" s="29"/>
    </row>
    <row r="112" spans="1:6" ht="24.95" customHeight="1">
      <c r="A112" s="11" t="s">
        <v>328</v>
      </c>
      <c r="B112" s="7" t="s">
        <v>329</v>
      </c>
      <c r="C112" s="10" t="s">
        <v>330</v>
      </c>
      <c r="D112" s="10" t="s">
        <v>331</v>
      </c>
      <c r="E112" s="48" t="s">
        <v>332</v>
      </c>
      <c r="F112" s="29"/>
    </row>
    <row r="113" spans="1:7" ht="24.95" customHeight="1">
      <c r="A113" s="9" t="s">
        <v>333</v>
      </c>
      <c r="B113" s="21" t="s">
        <v>334</v>
      </c>
      <c r="C113" s="9" t="s">
        <v>335</v>
      </c>
      <c r="D113" s="9" t="s">
        <v>101</v>
      </c>
      <c r="E113" s="58" t="s">
        <v>336</v>
      </c>
      <c r="F113" s="29"/>
    </row>
    <row r="114" spans="1:7" ht="24.95" customHeight="1">
      <c r="A114" s="9" t="s">
        <v>337</v>
      </c>
      <c r="B114" s="21" t="s">
        <v>338</v>
      </c>
      <c r="C114" s="9" t="s">
        <v>335</v>
      </c>
      <c r="D114" s="10" t="s">
        <v>339</v>
      </c>
      <c r="E114" s="58" t="s">
        <v>340</v>
      </c>
      <c r="F114" s="29"/>
    </row>
    <row r="115" spans="1:7" ht="24.95" customHeight="1">
      <c r="A115" s="9" t="s">
        <v>341</v>
      </c>
      <c r="B115" s="21" t="s">
        <v>342</v>
      </c>
      <c r="C115" s="10" t="s">
        <v>343</v>
      </c>
      <c r="D115" s="10" t="s">
        <v>344</v>
      </c>
      <c r="E115" s="58" t="s">
        <v>345</v>
      </c>
      <c r="F115" s="29"/>
    </row>
    <row r="116" spans="1:7" ht="24.95" customHeight="1">
      <c r="A116" s="9" t="s">
        <v>346</v>
      </c>
      <c r="B116" s="21" t="s">
        <v>347</v>
      </c>
      <c r="C116" s="10" t="s">
        <v>343</v>
      </c>
      <c r="D116" s="10" t="s">
        <v>344</v>
      </c>
      <c r="E116" s="58" t="s">
        <v>345</v>
      </c>
      <c r="F116" s="29"/>
    </row>
    <row r="117" spans="1:7" ht="24.95" customHeight="1">
      <c r="A117" s="9" t="s">
        <v>348</v>
      </c>
      <c r="B117" s="21" t="s">
        <v>349</v>
      </c>
      <c r="C117" s="10" t="s">
        <v>343</v>
      </c>
      <c r="D117" s="10" t="s">
        <v>344</v>
      </c>
      <c r="E117" s="58" t="s">
        <v>345</v>
      </c>
      <c r="F117" s="29"/>
    </row>
    <row r="118" spans="1:7" ht="24.95" customHeight="1">
      <c r="A118" s="9" t="s">
        <v>350</v>
      </c>
      <c r="B118" s="21" t="s">
        <v>351</v>
      </c>
      <c r="C118" s="10" t="s">
        <v>343</v>
      </c>
      <c r="D118" s="10" t="s">
        <v>344</v>
      </c>
      <c r="E118" s="58" t="s">
        <v>345</v>
      </c>
      <c r="F118" s="29"/>
    </row>
    <row r="119" spans="1:7" ht="24.95" customHeight="1">
      <c r="A119" s="9" t="s">
        <v>352</v>
      </c>
      <c r="B119" s="21" t="s">
        <v>353</v>
      </c>
      <c r="C119" s="10" t="s">
        <v>343</v>
      </c>
      <c r="D119" s="10" t="s">
        <v>344</v>
      </c>
      <c r="E119" s="58" t="s">
        <v>345</v>
      </c>
      <c r="F119" s="29"/>
    </row>
    <row r="120" spans="1:7" ht="24.95" customHeight="1">
      <c r="A120" s="9" t="s">
        <v>354</v>
      </c>
      <c r="B120" s="21" t="s">
        <v>355</v>
      </c>
      <c r="C120" s="10" t="s">
        <v>343</v>
      </c>
      <c r="D120" s="10" t="s">
        <v>344</v>
      </c>
      <c r="E120" s="58" t="s">
        <v>345</v>
      </c>
      <c r="F120" s="29"/>
    </row>
    <row r="121" spans="1:7" ht="24.95" customHeight="1">
      <c r="A121" s="9" t="s">
        <v>356</v>
      </c>
      <c r="B121" s="21" t="s">
        <v>357</v>
      </c>
      <c r="C121" s="10" t="s">
        <v>343</v>
      </c>
      <c r="D121" s="10" t="s">
        <v>344</v>
      </c>
      <c r="E121" s="58" t="s">
        <v>345</v>
      </c>
      <c r="F121" s="29"/>
    </row>
    <row r="122" spans="1:7" ht="24.95" customHeight="1">
      <c r="A122" s="9" t="s">
        <v>358</v>
      </c>
      <c r="B122" s="21" t="s">
        <v>359</v>
      </c>
      <c r="C122" s="10" t="s">
        <v>343</v>
      </c>
      <c r="D122" s="10" t="s">
        <v>344</v>
      </c>
      <c r="E122" s="58" t="s">
        <v>345</v>
      </c>
      <c r="F122" s="29"/>
    </row>
    <row r="123" spans="1:7" ht="24.95" customHeight="1">
      <c r="A123" s="9" t="s">
        <v>360</v>
      </c>
      <c r="B123" s="21" t="s">
        <v>361</v>
      </c>
      <c r="C123" s="10" t="s">
        <v>343</v>
      </c>
      <c r="D123" s="10" t="s">
        <v>344</v>
      </c>
      <c r="E123" s="58" t="s">
        <v>345</v>
      </c>
      <c r="F123" s="29"/>
    </row>
    <row r="124" spans="1:7" ht="24.95" customHeight="1">
      <c r="A124" s="9" t="s">
        <v>362</v>
      </c>
      <c r="B124" s="21" t="s">
        <v>363</v>
      </c>
      <c r="C124" s="10" t="s">
        <v>343</v>
      </c>
      <c r="D124" s="10" t="s">
        <v>344</v>
      </c>
      <c r="E124" s="58" t="s">
        <v>345</v>
      </c>
      <c r="F124" s="29"/>
    </row>
    <row r="125" spans="1:7" ht="24.95" customHeight="1">
      <c r="A125" s="9" t="s">
        <v>364</v>
      </c>
      <c r="B125" s="21" t="s">
        <v>365</v>
      </c>
      <c r="C125" s="10" t="s">
        <v>343</v>
      </c>
      <c r="D125" s="10" t="s">
        <v>344</v>
      </c>
      <c r="E125" s="58" t="s">
        <v>366</v>
      </c>
      <c r="F125" s="29"/>
    </row>
    <row r="126" spans="1:7" ht="24.95" customHeight="1">
      <c r="A126" s="10" t="s">
        <v>367</v>
      </c>
      <c r="B126" s="7" t="s">
        <v>368</v>
      </c>
      <c r="C126" s="10" t="s">
        <v>369</v>
      </c>
      <c r="D126" s="10" t="s">
        <v>370</v>
      </c>
      <c r="E126" s="48" t="s">
        <v>371</v>
      </c>
      <c r="F126" s="33"/>
    </row>
    <row r="127" spans="1:7" ht="24.95" customHeight="1">
      <c r="A127" s="10" t="s">
        <v>372</v>
      </c>
      <c r="B127" s="7" t="s">
        <v>373</v>
      </c>
      <c r="C127" s="9" t="s">
        <v>374</v>
      </c>
      <c r="D127" s="9" t="s">
        <v>101</v>
      </c>
      <c r="E127" s="48" t="s">
        <v>375</v>
      </c>
      <c r="F127" s="29"/>
      <c r="G127" s="66"/>
    </row>
    <row r="128" spans="1:7" ht="24.95" customHeight="1">
      <c r="A128" s="10" t="s">
        <v>376</v>
      </c>
      <c r="B128" s="7" t="s">
        <v>377</v>
      </c>
      <c r="C128" s="9" t="s">
        <v>335</v>
      </c>
      <c r="D128" s="9" t="s">
        <v>378</v>
      </c>
      <c r="E128" s="58" t="s">
        <v>379</v>
      </c>
      <c r="F128" s="33"/>
    </row>
    <row r="129" spans="1:6" ht="20.100000000000001" customHeight="1">
      <c r="A129" s="78" t="s">
        <v>380</v>
      </c>
      <c r="B129" s="79"/>
      <c r="C129" s="79"/>
      <c r="D129" s="79"/>
      <c r="E129" s="79"/>
      <c r="F129" s="80"/>
    </row>
    <row r="130" spans="1:6" ht="24.95" customHeight="1">
      <c r="A130" s="10" t="s">
        <v>381</v>
      </c>
      <c r="B130" s="7" t="s">
        <v>382</v>
      </c>
      <c r="C130" s="10" t="s">
        <v>383</v>
      </c>
      <c r="D130" s="10" t="s">
        <v>384</v>
      </c>
      <c r="E130" s="48" t="s">
        <v>385</v>
      </c>
      <c r="F130" s="34"/>
    </row>
    <row r="131" spans="1:6" ht="24.95" customHeight="1">
      <c r="A131" s="40" t="s">
        <v>386</v>
      </c>
      <c r="B131" s="7" t="s">
        <v>387</v>
      </c>
      <c r="C131" s="40" t="s">
        <v>388</v>
      </c>
      <c r="D131" s="40" t="s">
        <v>389</v>
      </c>
      <c r="E131" s="40" t="s">
        <v>390</v>
      </c>
      <c r="F131" s="39" t="s">
        <v>391</v>
      </c>
    </row>
    <row r="132" spans="1:6" ht="24.95" customHeight="1">
      <c r="A132" s="40" t="s">
        <v>392</v>
      </c>
      <c r="B132" s="7" t="s">
        <v>393</v>
      </c>
      <c r="C132" s="40" t="s">
        <v>388</v>
      </c>
      <c r="D132" s="40" t="s">
        <v>394</v>
      </c>
      <c r="E132" s="40" t="s">
        <v>395</v>
      </c>
      <c r="F132" s="39" t="s">
        <v>391</v>
      </c>
    </row>
    <row r="133" spans="1:6" ht="24.95" customHeight="1">
      <c r="A133" s="40" t="s">
        <v>396</v>
      </c>
      <c r="B133" s="7" t="s">
        <v>397</v>
      </c>
      <c r="C133" s="40" t="s">
        <v>388</v>
      </c>
      <c r="D133" s="40" t="s">
        <v>394</v>
      </c>
      <c r="E133" s="40" t="s">
        <v>395</v>
      </c>
      <c r="F133" s="39" t="s">
        <v>391</v>
      </c>
    </row>
    <row r="134" spans="1:6" ht="20.100000000000001" customHeight="1">
      <c r="A134" s="78" t="s">
        <v>398</v>
      </c>
      <c r="B134" s="79"/>
      <c r="C134" s="79"/>
      <c r="D134" s="79"/>
      <c r="E134" s="79"/>
      <c r="F134" s="80"/>
    </row>
    <row r="135" spans="1:6" ht="24.95" customHeight="1">
      <c r="A135" s="10" t="s">
        <v>399</v>
      </c>
      <c r="B135" s="7" t="s">
        <v>400</v>
      </c>
      <c r="C135" s="10" t="s">
        <v>401</v>
      </c>
      <c r="D135" s="10" t="s">
        <v>155</v>
      </c>
      <c r="E135" s="48" t="s">
        <v>402</v>
      </c>
      <c r="F135" s="34"/>
    </row>
    <row r="136" spans="1:6" ht="24.95" customHeight="1">
      <c r="A136" s="42" t="s">
        <v>403</v>
      </c>
      <c r="B136" s="7" t="s">
        <v>404</v>
      </c>
      <c r="C136" s="42" t="s">
        <v>405</v>
      </c>
      <c r="D136" s="42" t="s">
        <v>95</v>
      </c>
      <c r="E136" s="42" t="s">
        <v>406</v>
      </c>
      <c r="F136" s="39" t="s">
        <v>407</v>
      </c>
    </row>
    <row r="137" spans="1:6" ht="24.95" customHeight="1">
      <c r="A137" s="42" t="s">
        <v>408</v>
      </c>
      <c r="B137" s="7" t="s">
        <v>409</v>
      </c>
      <c r="C137" s="42" t="s">
        <v>405</v>
      </c>
      <c r="D137" s="42" t="s">
        <v>95</v>
      </c>
      <c r="E137" s="42" t="s">
        <v>406</v>
      </c>
      <c r="F137" s="39" t="s">
        <v>407</v>
      </c>
    </row>
    <row r="138" spans="1:6" ht="24.95" customHeight="1">
      <c r="A138" s="42" t="s">
        <v>410</v>
      </c>
      <c r="B138" s="7" t="s">
        <v>411</v>
      </c>
      <c r="C138" s="42" t="s">
        <v>405</v>
      </c>
      <c r="D138" s="42" t="s">
        <v>95</v>
      </c>
      <c r="E138" s="42" t="s">
        <v>406</v>
      </c>
      <c r="F138" s="39" t="s">
        <v>407</v>
      </c>
    </row>
    <row r="139" spans="1:6" ht="24.95" customHeight="1">
      <c r="A139" s="27" t="s">
        <v>412</v>
      </c>
      <c r="B139" s="61" t="s">
        <v>45</v>
      </c>
      <c r="C139" s="27" t="s">
        <v>413</v>
      </c>
      <c r="D139" s="27" t="s">
        <v>413</v>
      </c>
      <c r="E139" s="58" t="s">
        <v>414</v>
      </c>
      <c r="F139" s="62"/>
    </row>
    <row r="140" spans="1:6" ht="24.95" customHeight="1">
      <c r="A140" s="44" t="s">
        <v>415</v>
      </c>
      <c r="B140" s="28" t="s">
        <v>416</v>
      </c>
      <c r="C140" s="44" t="s">
        <v>417</v>
      </c>
      <c r="D140" s="44" t="s">
        <v>418</v>
      </c>
      <c r="E140" s="44" t="s">
        <v>419</v>
      </c>
      <c r="F140" s="46"/>
    </row>
    <row r="141" spans="1:6" ht="24.95" customHeight="1">
      <c r="A141" s="40" t="s">
        <v>420</v>
      </c>
      <c r="B141" s="7" t="s">
        <v>421</v>
      </c>
      <c r="C141" s="40" t="s">
        <v>401</v>
      </c>
      <c r="D141" s="40" t="s">
        <v>422</v>
      </c>
      <c r="E141" s="40" t="s">
        <v>423</v>
      </c>
      <c r="F141" s="39" t="s">
        <v>424</v>
      </c>
    </row>
    <row r="142" spans="1:6" ht="24.95" customHeight="1">
      <c r="A142" s="10" t="s">
        <v>425</v>
      </c>
      <c r="B142" s="7" t="s">
        <v>426</v>
      </c>
      <c r="C142" s="10" t="s">
        <v>427</v>
      </c>
      <c r="D142" s="10" t="s">
        <v>255</v>
      </c>
      <c r="E142" s="58" t="s">
        <v>428</v>
      </c>
      <c r="F142" s="56"/>
    </row>
    <row r="143" spans="1:6" ht="24.95" customHeight="1">
      <c r="A143" s="10" t="s">
        <v>425</v>
      </c>
      <c r="B143" s="7" t="s">
        <v>429</v>
      </c>
      <c r="C143" s="10" t="s">
        <v>427</v>
      </c>
      <c r="D143" s="10" t="s">
        <v>255</v>
      </c>
      <c r="E143" s="58" t="s">
        <v>430</v>
      </c>
      <c r="F143" s="56"/>
    </row>
    <row r="144" spans="1:6" ht="24.95" customHeight="1">
      <c r="A144" s="10" t="s">
        <v>425</v>
      </c>
      <c r="B144" s="7" t="s">
        <v>431</v>
      </c>
      <c r="C144" s="10" t="s">
        <v>427</v>
      </c>
      <c r="D144" s="10" t="s">
        <v>255</v>
      </c>
      <c r="E144" s="58" t="s">
        <v>432</v>
      </c>
      <c r="F144" s="56"/>
    </row>
    <row r="145" spans="1:7" ht="24.95" customHeight="1">
      <c r="A145" s="10" t="s">
        <v>433</v>
      </c>
      <c r="B145" s="7" t="s">
        <v>434</v>
      </c>
      <c r="C145" s="10" t="s">
        <v>435</v>
      </c>
      <c r="D145" s="10" t="s">
        <v>255</v>
      </c>
      <c r="E145" s="55" t="s">
        <v>436</v>
      </c>
      <c r="F145" s="34"/>
    </row>
    <row r="146" spans="1:7" ht="24.95" customHeight="1">
      <c r="A146" s="10" t="s">
        <v>437</v>
      </c>
      <c r="B146" s="7" t="s">
        <v>438</v>
      </c>
      <c r="C146" s="10" t="s">
        <v>178</v>
      </c>
      <c r="D146" s="10" t="s">
        <v>255</v>
      </c>
      <c r="E146" s="55" t="s">
        <v>439</v>
      </c>
      <c r="F146" s="34"/>
    </row>
    <row r="147" spans="1:7" ht="24.95" customHeight="1">
      <c r="A147" s="10" t="s">
        <v>440</v>
      </c>
      <c r="B147" s="7" t="s">
        <v>441</v>
      </c>
      <c r="C147" s="10" t="s">
        <v>442</v>
      </c>
      <c r="D147" s="10" t="s">
        <v>255</v>
      </c>
      <c r="E147" s="58" t="s">
        <v>443</v>
      </c>
      <c r="F147" s="34"/>
    </row>
    <row r="148" spans="1:7" ht="24.95" customHeight="1">
      <c r="A148" s="10" t="s">
        <v>444</v>
      </c>
      <c r="B148" s="7" t="s">
        <v>445</v>
      </c>
      <c r="C148" s="10" t="s">
        <v>442</v>
      </c>
      <c r="D148" s="10" t="s">
        <v>255</v>
      </c>
      <c r="E148" s="58" t="s">
        <v>443</v>
      </c>
      <c r="F148" s="34"/>
    </row>
    <row r="149" spans="1:7" ht="24.95" customHeight="1">
      <c r="A149" s="10" t="s">
        <v>446</v>
      </c>
      <c r="B149" s="7" t="s">
        <v>447</v>
      </c>
      <c r="C149" s="10" t="s">
        <v>448</v>
      </c>
      <c r="D149" s="10" t="s">
        <v>255</v>
      </c>
      <c r="E149" s="58" t="s">
        <v>449</v>
      </c>
      <c r="F149" s="34"/>
    </row>
    <row r="150" spans="1:7" s="5" customFormat="1" ht="24.95" customHeight="1">
      <c r="A150" s="22" t="s">
        <v>450</v>
      </c>
      <c r="B150" s="23" t="s">
        <v>451</v>
      </c>
      <c r="C150" s="22" t="s">
        <v>259</v>
      </c>
      <c r="D150" s="22" t="s">
        <v>452</v>
      </c>
      <c r="E150" s="47" t="s">
        <v>453</v>
      </c>
      <c r="F150" s="56"/>
      <c r="G150" s="68"/>
    </row>
    <row r="151" spans="1:7" ht="24.95" customHeight="1">
      <c r="A151" s="44" t="s">
        <v>454</v>
      </c>
      <c r="B151" s="7" t="s">
        <v>455</v>
      </c>
      <c r="C151" s="44" t="s">
        <v>456</v>
      </c>
      <c r="D151" s="44" t="s">
        <v>86</v>
      </c>
      <c r="E151" s="44" t="s">
        <v>457</v>
      </c>
      <c r="F151" s="46" t="s">
        <v>458</v>
      </c>
    </row>
    <row r="152" spans="1:7" ht="24.95" customHeight="1">
      <c r="A152" s="10" t="s">
        <v>459</v>
      </c>
      <c r="B152" s="7" t="s">
        <v>460</v>
      </c>
      <c r="C152" s="10" t="s">
        <v>461</v>
      </c>
      <c r="D152" s="10" t="s">
        <v>462</v>
      </c>
      <c r="E152" s="58" t="s">
        <v>463</v>
      </c>
      <c r="F152" s="34"/>
    </row>
    <row r="153" spans="1:7" ht="24.95" customHeight="1">
      <c r="A153" s="10" t="s">
        <v>464</v>
      </c>
      <c r="B153" s="7" t="s">
        <v>465</v>
      </c>
      <c r="C153" s="10" t="s">
        <v>466</v>
      </c>
      <c r="D153" s="10" t="s">
        <v>86</v>
      </c>
      <c r="E153" s="48" t="s">
        <v>467</v>
      </c>
      <c r="F153" s="34"/>
    </row>
    <row r="154" spans="1:7" ht="24.95" customHeight="1">
      <c r="A154" s="10" t="s">
        <v>468</v>
      </c>
      <c r="B154" s="7" t="s">
        <v>469</v>
      </c>
      <c r="C154" s="10" t="s">
        <v>470</v>
      </c>
      <c r="D154" s="10" t="s">
        <v>64</v>
      </c>
      <c r="E154" s="58" t="s">
        <v>463</v>
      </c>
      <c r="F154" s="34"/>
    </row>
    <row r="155" spans="1:7" ht="24.95" customHeight="1">
      <c r="A155" s="10" t="s">
        <v>471</v>
      </c>
      <c r="B155" s="7" t="s">
        <v>472</v>
      </c>
      <c r="C155" s="10" t="s">
        <v>473</v>
      </c>
      <c r="D155" s="10" t="s">
        <v>474</v>
      </c>
      <c r="E155" s="48" t="s">
        <v>475</v>
      </c>
      <c r="F155" s="34"/>
    </row>
    <row r="156" spans="1:7" ht="24.95" customHeight="1">
      <c r="A156" s="10" t="s">
        <v>476</v>
      </c>
      <c r="B156" s="7" t="s">
        <v>477</v>
      </c>
      <c r="C156" s="10" t="s">
        <v>478</v>
      </c>
      <c r="D156" s="10" t="s">
        <v>64</v>
      </c>
      <c r="E156" s="48" t="s">
        <v>479</v>
      </c>
      <c r="F156" s="34"/>
    </row>
    <row r="157" spans="1:7" ht="24.95" customHeight="1">
      <c r="A157" s="10" t="s">
        <v>480</v>
      </c>
      <c r="B157" s="7" t="s">
        <v>481</v>
      </c>
      <c r="C157" s="10" t="s">
        <v>478</v>
      </c>
      <c r="D157" s="10" t="s">
        <v>482</v>
      </c>
      <c r="E157" s="58" t="s">
        <v>483</v>
      </c>
      <c r="F157" s="34"/>
    </row>
    <row r="158" spans="1:7" ht="24.95" customHeight="1">
      <c r="A158" s="40" t="s">
        <v>484</v>
      </c>
      <c r="B158" s="57" t="s">
        <v>485</v>
      </c>
      <c r="C158" s="40" t="s">
        <v>486</v>
      </c>
      <c r="D158" s="40" t="s">
        <v>86</v>
      </c>
      <c r="E158" s="40" t="s">
        <v>463</v>
      </c>
      <c r="F158" s="34" t="s">
        <v>487</v>
      </c>
    </row>
    <row r="159" spans="1:7" ht="24.95" customHeight="1">
      <c r="A159" s="10" t="s">
        <v>488</v>
      </c>
      <c r="B159" s="7" t="s">
        <v>489</v>
      </c>
      <c r="C159" s="10" t="s">
        <v>442</v>
      </c>
      <c r="D159" s="10" t="s">
        <v>255</v>
      </c>
      <c r="E159" s="64" t="s">
        <v>490</v>
      </c>
      <c r="F159" s="34"/>
    </row>
    <row r="160" spans="1:7" ht="24.95" customHeight="1">
      <c r="A160" s="10" t="s">
        <v>491</v>
      </c>
      <c r="B160" s="7" t="s">
        <v>492</v>
      </c>
      <c r="C160" s="10" t="s">
        <v>493</v>
      </c>
      <c r="D160" s="10" t="s">
        <v>494</v>
      </c>
      <c r="E160" s="58" t="s">
        <v>495</v>
      </c>
      <c r="F160" s="34"/>
    </row>
    <row r="161" spans="1:6" ht="24.95" customHeight="1">
      <c r="A161" s="10" t="s">
        <v>496</v>
      </c>
      <c r="B161" s="7" t="s">
        <v>497</v>
      </c>
      <c r="C161" s="10" t="s">
        <v>498</v>
      </c>
      <c r="D161" s="10" t="s">
        <v>494</v>
      </c>
      <c r="E161" s="27" t="s">
        <v>499</v>
      </c>
      <c r="F161" s="10"/>
    </row>
    <row r="162" spans="1:6" ht="24.95" customHeight="1">
      <c r="A162" s="10" t="s">
        <v>500</v>
      </c>
      <c r="B162" s="7" t="s">
        <v>501</v>
      </c>
      <c r="C162" s="10" t="s">
        <v>442</v>
      </c>
      <c r="D162" s="10" t="s">
        <v>255</v>
      </c>
      <c r="E162" s="27" t="s">
        <v>502</v>
      </c>
      <c r="F162" s="10"/>
    </row>
    <row r="163" spans="1:6" ht="24.95" customHeight="1">
      <c r="A163" s="10" t="s">
        <v>503</v>
      </c>
      <c r="B163" s="7" t="s">
        <v>504</v>
      </c>
      <c r="C163" s="10" t="s">
        <v>442</v>
      </c>
      <c r="D163" s="10" t="s">
        <v>255</v>
      </c>
      <c r="E163" s="27" t="s">
        <v>502</v>
      </c>
      <c r="F163" s="10"/>
    </row>
    <row r="164" spans="1:6" ht="24.95" customHeight="1">
      <c r="A164" s="10" t="s">
        <v>505</v>
      </c>
      <c r="B164" s="7" t="s">
        <v>506</v>
      </c>
      <c r="C164" s="10" t="s">
        <v>442</v>
      </c>
      <c r="D164" s="10" t="s">
        <v>255</v>
      </c>
      <c r="E164" s="55" t="s">
        <v>507</v>
      </c>
      <c r="F164" s="10"/>
    </row>
    <row r="165" spans="1:6" ht="24.95" customHeight="1">
      <c r="A165" s="40" t="s">
        <v>508</v>
      </c>
      <c r="B165" s="57" t="s">
        <v>509</v>
      </c>
      <c r="C165" s="40" t="s">
        <v>442</v>
      </c>
      <c r="D165" s="40" t="s">
        <v>255</v>
      </c>
      <c r="E165" s="40" t="s">
        <v>510</v>
      </c>
      <c r="F165" s="40" t="s">
        <v>511</v>
      </c>
    </row>
    <row r="166" spans="1:6" ht="24.95" customHeight="1">
      <c r="A166" s="40" t="s">
        <v>512</v>
      </c>
      <c r="B166" s="57" t="s">
        <v>513</v>
      </c>
      <c r="C166" s="40" t="s">
        <v>514</v>
      </c>
      <c r="D166" s="40" t="s">
        <v>255</v>
      </c>
      <c r="E166" s="40" t="s">
        <v>515</v>
      </c>
      <c r="F166" s="40" t="s">
        <v>516</v>
      </c>
    </row>
    <row r="167" spans="1:6" ht="24.95" customHeight="1">
      <c r="A167" s="40" t="s">
        <v>517</v>
      </c>
      <c r="B167" s="57" t="s">
        <v>501</v>
      </c>
      <c r="C167" s="40" t="s">
        <v>442</v>
      </c>
      <c r="D167" s="40" t="s">
        <v>255</v>
      </c>
      <c r="E167" s="40" t="s">
        <v>518</v>
      </c>
      <c r="F167" s="39" t="s">
        <v>519</v>
      </c>
    </row>
    <row r="168" spans="1:6" ht="24.95" customHeight="1">
      <c r="A168" s="10" t="s">
        <v>520</v>
      </c>
      <c r="B168" s="7" t="s">
        <v>521</v>
      </c>
      <c r="C168" s="10" t="s">
        <v>522</v>
      </c>
      <c r="D168" s="10" t="s">
        <v>523</v>
      </c>
      <c r="E168" s="58" t="s">
        <v>524</v>
      </c>
      <c r="F168" s="34"/>
    </row>
    <row r="169" spans="1:6" ht="24.95" customHeight="1">
      <c r="A169" s="10" t="s">
        <v>525</v>
      </c>
      <c r="B169" s="7" t="s">
        <v>526</v>
      </c>
      <c r="C169" s="10" t="s">
        <v>522</v>
      </c>
      <c r="D169" s="10" t="s">
        <v>527</v>
      </c>
      <c r="E169" s="58" t="s">
        <v>528</v>
      </c>
      <c r="F169" s="34"/>
    </row>
    <row r="170" spans="1:6" ht="15.75" customHeight="1">
      <c r="A170" s="81" t="s">
        <v>529</v>
      </c>
      <c r="B170" s="81"/>
      <c r="C170" s="81"/>
      <c r="D170" s="81"/>
      <c r="E170" s="81"/>
      <c r="F170" s="81"/>
    </row>
    <row r="171" spans="1:6" ht="33.6" customHeight="1">
      <c r="A171" s="10" t="s">
        <v>530</v>
      </c>
      <c r="B171" s="3" t="s">
        <v>7</v>
      </c>
      <c r="C171" s="10" t="s">
        <v>7</v>
      </c>
      <c r="D171" s="10"/>
      <c r="E171" s="24" t="s">
        <v>531</v>
      </c>
      <c r="F171" s="34"/>
    </row>
    <row r="172" spans="1:6" ht="24.6" customHeight="1">
      <c r="A172" s="10" t="s">
        <v>532</v>
      </c>
      <c r="B172" s="3" t="s">
        <v>7</v>
      </c>
      <c r="C172" s="10" t="s">
        <v>7</v>
      </c>
      <c r="D172" s="10"/>
      <c r="E172" s="24" t="s">
        <v>533</v>
      </c>
      <c r="F172" s="34"/>
    </row>
    <row r="173" spans="1:6" ht="15.75" customHeight="1">
      <c r="A173" s="10" t="s">
        <v>534</v>
      </c>
      <c r="B173" s="3" t="s">
        <v>7</v>
      </c>
      <c r="C173" s="10" t="s">
        <v>7</v>
      </c>
      <c r="D173" s="10"/>
      <c r="E173" s="24" t="s">
        <v>535</v>
      </c>
      <c r="F173" s="34"/>
    </row>
    <row r="174" spans="1:6" ht="15.75" customHeight="1">
      <c r="A174" s="10" t="s">
        <v>536</v>
      </c>
      <c r="B174" s="3" t="s">
        <v>7</v>
      </c>
      <c r="C174" s="10" t="s">
        <v>7</v>
      </c>
      <c r="D174" s="10"/>
      <c r="E174" s="24" t="s">
        <v>537</v>
      </c>
      <c r="F174" s="34"/>
    </row>
    <row r="175" spans="1:6" ht="15.75" customHeight="1">
      <c r="A175" s="10" t="s">
        <v>538</v>
      </c>
      <c r="B175" s="3" t="s">
        <v>7</v>
      </c>
      <c r="C175" s="10" t="s">
        <v>7</v>
      </c>
      <c r="D175" s="10"/>
      <c r="E175" s="24" t="s">
        <v>537</v>
      </c>
      <c r="F175" s="34"/>
    </row>
    <row r="176" spans="1:6" ht="15.75" customHeight="1">
      <c r="A176" s="10" t="s">
        <v>539</v>
      </c>
      <c r="B176" s="3" t="s">
        <v>7</v>
      </c>
      <c r="C176" s="10" t="s">
        <v>7</v>
      </c>
      <c r="D176" s="10"/>
      <c r="E176" s="24" t="s">
        <v>537</v>
      </c>
      <c r="F176" s="34"/>
    </row>
    <row r="177" spans="1:6" ht="15.75" customHeight="1">
      <c r="A177" s="10" t="s">
        <v>540</v>
      </c>
      <c r="B177" s="3" t="s">
        <v>7</v>
      </c>
      <c r="C177" s="10" t="s">
        <v>7</v>
      </c>
      <c r="D177" s="10"/>
      <c r="E177" s="24" t="s">
        <v>537</v>
      </c>
      <c r="F177" s="34"/>
    </row>
    <row r="178" spans="1:6" ht="15.75" customHeight="1">
      <c r="A178" s="10" t="s">
        <v>541</v>
      </c>
      <c r="B178" s="3" t="s">
        <v>7</v>
      </c>
      <c r="C178" s="10" t="s">
        <v>7</v>
      </c>
      <c r="D178" s="10"/>
      <c r="E178" s="24" t="s">
        <v>537</v>
      </c>
      <c r="F178" s="34"/>
    </row>
    <row r="179" spans="1:6" ht="15.75" customHeight="1">
      <c r="A179" s="10" t="s">
        <v>542</v>
      </c>
      <c r="B179" s="3" t="s">
        <v>7</v>
      </c>
      <c r="C179" s="10" t="s">
        <v>7</v>
      </c>
      <c r="D179" s="10"/>
      <c r="E179" s="25">
        <v>41163</v>
      </c>
      <c r="F179" s="34"/>
    </row>
    <row r="180" spans="1:6" ht="15.75" customHeight="1">
      <c r="A180" s="10" t="s">
        <v>543</v>
      </c>
      <c r="B180" s="3" t="s">
        <v>7</v>
      </c>
      <c r="C180" s="10" t="s">
        <v>7</v>
      </c>
      <c r="D180" s="10"/>
      <c r="E180" s="24" t="s">
        <v>537</v>
      </c>
      <c r="F180" s="34"/>
    </row>
    <row r="181" spans="1:6" ht="15.75" customHeight="1">
      <c r="A181" s="10" t="s">
        <v>544</v>
      </c>
      <c r="B181" s="3" t="s">
        <v>7</v>
      </c>
      <c r="C181" s="10" t="s">
        <v>7</v>
      </c>
      <c r="D181" s="10"/>
      <c r="E181" s="26" t="s">
        <v>545</v>
      </c>
      <c r="F181" s="34"/>
    </row>
    <row r="182" spans="1:6" ht="15.6" customHeight="1">
      <c r="A182" s="10" t="s">
        <v>546</v>
      </c>
      <c r="B182" s="3" t="s">
        <v>7</v>
      </c>
      <c r="C182" s="10" t="s">
        <v>7</v>
      </c>
      <c r="D182" s="10"/>
      <c r="E182" s="24" t="s">
        <v>547</v>
      </c>
      <c r="F182" s="34"/>
    </row>
    <row r="183" spans="1:6" ht="15.75" customHeight="1">
      <c r="A183" s="12"/>
      <c r="B183" s="4"/>
      <c r="C183" s="12"/>
      <c r="D183" s="12"/>
      <c r="E183" s="12"/>
    </row>
    <row r="184" spans="1:6" ht="15.75" customHeight="1">
      <c r="B184" s="67"/>
    </row>
    <row r="185" spans="1:6" ht="15.75" customHeight="1">
      <c r="B185" s="67"/>
    </row>
    <row r="186" spans="1:6" ht="15" customHeight="1">
      <c r="B186" s="67"/>
    </row>
  </sheetData>
  <autoFilter ref="A1:E182" xr:uid="{00000000-0009-0000-0000-000001000000}"/>
  <mergeCells count="11">
    <mergeCell ref="A170:F170"/>
    <mergeCell ref="A80:F80"/>
    <mergeCell ref="A90:F90"/>
    <mergeCell ref="A108:F108"/>
    <mergeCell ref="A129:F129"/>
    <mergeCell ref="A134:F134"/>
    <mergeCell ref="A27:F27"/>
    <mergeCell ref="A2:F2"/>
    <mergeCell ref="A40:F40"/>
    <mergeCell ref="A50:F50"/>
    <mergeCell ref="A70:F70"/>
  </mergeCells>
  <hyperlinks>
    <hyperlink ref="A27" r:id="rId1" xr:uid="{2427009F-A2DC-4B81-9A18-A523287B1A62}"/>
    <hyperlink ref="B29" location="RC-1!A1" display="RC-1" xr:uid="{8CBB0159-557B-4E18-AF4B-3AB20A457901}"/>
    <hyperlink ref="B32" location="RC-2!A1" display="RC-2" xr:uid="{C5358687-A39A-4A02-81A6-5BA3147A6B26}"/>
    <hyperlink ref="B33" location="RC-3!A1" display="RC-3" xr:uid="{9D193A8E-9990-46D8-8B30-562BAFA1BF07}"/>
    <hyperlink ref="B35" location="RC-4!A1" display="RC-4" xr:uid="{C185750B-E60B-4332-AD04-80A1B877756B}"/>
    <hyperlink ref="B36" location="RC-5!A1" display="RC-5" xr:uid="{CCA9C4DE-F21E-44C1-9A67-F0AE7DF4AB5F}"/>
    <hyperlink ref="B37" location="RC-6!A1" display="RC-6" xr:uid="{0174F241-605F-4D13-9C6A-95BBCA34B162}"/>
    <hyperlink ref="B38" location="RC-7!A1" display="RC-7" xr:uid="{06FC2841-EA0E-4C3B-A7AB-DF3FACE94F2A}"/>
    <hyperlink ref="B41" location="RC-8A!A1" display="RC-8A" xr:uid="{9FAECF0E-0342-44B8-9A06-F6B08B57D637}"/>
    <hyperlink ref="B42" location="RC-8B!A1" display="RC-8B" xr:uid="{B8CBA429-53C8-452C-9AB1-A12C68465F0A}"/>
    <hyperlink ref="B43" location="RC-9!A1" display="RC-9" xr:uid="{9D5E5DDD-DB2D-4BFF-B4FF-33B2BD6179BE}"/>
    <hyperlink ref="B51" location="RC-11!A1" display="RC-11" xr:uid="{52C0A456-D651-429A-940B-9622F7871C77}"/>
    <hyperlink ref="B52" location="RC-12!A1" display="RC-12" xr:uid="{F91F9CAD-2D49-4E6B-ADBF-AF3568CBCFAB}"/>
    <hyperlink ref="B53" location="RC-12B!A1" display="RC-12B" xr:uid="{04240CA1-6B9E-41C2-A1FD-B3D8D5EBE851}"/>
    <hyperlink ref="B54" location="RC-13!A1" display="RC-13" xr:uid="{31FBAA90-C074-4DE1-9F70-12DBF17360AF}"/>
    <hyperlink ref="B55" location="RC-13B!A1" display="RC-13B" xr:uid="{A3DB0C9E-7BB2-48C6-A217-6F618E544F26}"/>
    <hyperlink ref="B56" location="RC-14!A1" display="RC-14" xr:uid="{09782898-48C1-4D72-A8DA-3774F9EEAF7D}"/>
    <hyperlink ref="B57" location="RC-15!A1" display="RC-15" xr:uid="{A48F1B76-89B1-459A-AFF7-8D913A5CF3A1}"/>
    <hyperlink ref="B58" location="RC-16A!A1" display="RC-16A" xr:uid="{720E66EC-4CDD-4CFD-9BC8-2581CF431C77}"/>
    <hyperlink ref="B59" location="RC-16B!A1" display="RC-16B" xr:uid="{C206D6AC-95F7-45CD-B461-CAD36C9C4F2C}"/>
    <hyperlink ref="B60" location="RC-16C!A1" display="RC-16C" xr:uid="{CEC55EA3-6934-42D8-91CB-39FC185161DE}"/>
    <hyperlink ref="B61" location="RC-16D!A1" display="RC-16D" xr:uid="{D3AFC188-563B-431F-9B5A-C7F1FFDC6BEE}"/>
    <hyperlink ref="B63" location="RC-17!A1" display="RC-17" xr:uid="{45D702B5-A355-4DD2-9410-2C4A6EEBA952}"/>
    <hyperlink ref="B66" location="RC-25!A1" display="RC-25" xr:uid="{B04CCD8B-0BC0-4CEC-8D20-DCAC9B77BE26}"/>
    <hyperlink ref="B71" location="RC-18!A1" display="RC-18" xr:uid="{0299977C-CC4D-4CA3-B93C-57F41E4E38DC}"/>
    <hyperlink ref="B73" location="RC-19!A1" display="RC-19" xr:uid="{E16699E4-2E5F-410A-AB5F-4EC8F1E1A152}"/>
    <hyperlink ref="B74" location="RC-20!A1" display="RC-20" xr:uid="{32237EBB-91CB-4BF9-AFCA-E92E08E78EE8}"/>
    <hyperlink ref="B81" location="RC-21!A1" display="RC-21" xr:uid="{EADE10F7-9881-4003-AEE1-E65784BBACD4}"/>
    <hyperlink ref="B82" location="RC-22!A1" display="RC-22" xr:uid="{CED747D4-FF7D-460C-964A-50BAF83BD234}"/>
    <hyperlink ref="B84" location="RC-23!A1" display="RC-23" xr:uid="{9438DE00-5B8D-44B5-89FE-0AF84F822283}"/>
    <hyperlink ref="B86" location="RC-24!A1" display="RC-24" xr:uid="{91E9D431-A238-4F28-8458-1E29F654617E}"/>
    <hyperlink ref="B87" location="RC-26!A1" display="RC-26" xr:uid="{F9A3086C-F413-4C16-BE8C-EF59C2B3A7B5}"/>
    <hyperlink ref="B88" location="RC-66!A1" display="RC-66" xr:uid="{DBABA49A-84D4-436C-83CB-DE9E29B6DC97}"/>
    <hyperlink ref="B91" location="RC-27!A1" display="RC-27" xr:uid="{CF35AEC2-519B-4AEF-B28D-6E08C443C0C4}"/>
    <hyperlink ref="B92" location="RC-28!A1" display="RC-28" xr:uid="{84890299-4C9F-4BC6-9F6A-93D1674A18A5}"/>
    <hyperlink ref="B93" location="RC-29!A1" display="RC-29" xr:uid="{64B2A61E-4952-4C16-8EDE-3E5CB8CE8AF6}"/>
    <hyperlink ref="B95" location="RC-30A!A1" display="RC-30" xr:uid="{2DE4D7D7-451A-4F84-957C-AFC7486652B3}"/>
    <hyperlink ref="B96" location="RC-30B!A1" display="RC-30B" xr:uid="{AB0B7FEA-8379-47EC-B5E5-D6BCBCC338F7}"/>
    <hyperlink ref="B97" location="RC-30C!A1" display="RC-30C" xr:uid="{44CF645A-86FD-405E-8569-2B811ACAE179}"/>
    <hyperlink ref="B101" location="RC-31!A1" display="RC-31" xr:uid="{5AC72836-9E2E-4E6E-8D67-AC3FE68D8916}"/>
    <hyperlink ref="B102" location="RC-32!A1" display="RC-32" xr:uid="{15BA71D2-267C-463F-BF5F-92A7B5A6B938}"/>
    <hyperlink ref="B103" location="RC-33!A1" display="RC-33" xr:uid="{1304D600-6E4C-4913-B39D-B4BAA5ED25C3}"/>
    <hyperlink ref="B104" location="RC-34!A1" display="RC-34" xr:uid="{71CEB25E-24B3-4508-B762-26A0AFAE1627}"/>
    <hyperlink ref="B109" location="RC-36!A1" display="RC-36" xr:uid="{D7934584-9DFD-4515-8BF7-017D5C9DE373}"/>
    <hyperlink ref="B110" location="null!A1" display="RC-38" xr:uid="{83131310-CD50-4811-AD10-9330A5CF7C2C}"/>
    <hyperlink ref="B111" location="RC-39!A1" display="RC-39" xr:uid="{54CE0E20-E777-439C-ACAD-D2E4625F93B4}"/>
    <hyperlink ref="B130" location="RC-45!A1" display="RC-45" xr:uid="{FD3ABEF6-83F6-4AE0-B86E-5EC3F45402A9}"/>
    <hyperlink ref="B131" location="RC-48!A1" display="RC-48" xr:uid="{24320134-D482-4CDF-981F-D291258115B6}"/>
    <hyperlink ref="B133" location="null!A1" display="RC-49" xr:uid="{3CB666EF-1161-464A-8871-578F599EF345}"/>
    <hyperlink ref="B135" location="RC-41!A1" display="RC-41" xr:uid="{95BB4CFB-049E-4BB8-878B-BDB7869FF634}"/>
    <hyperlink ref="B136" location="RC-42A!A1" display="RC-42A" xr:uid="{51CB8CE7-F550-43FB-B95A-19001E142A30}"/>
    <hyperlink ref="B137" location="RC-42B!A1" display="RC-42B" xr:uid="{59DEFD28-6DDE-4429-9510-71303592BC0D}"/>
    <hyperlink ref="B138" location="RC-42C!A1" display="RC-42C" xr:uid="{3BD60215-BA7F-4E2F-92A4-959C7FC7C83F}"/>
    <hyperlink ref="B140" location="RC-43!A1" display="RC-43" xr:uid="{713D06D2-F56B-4EF2-A379-A80E5B3266DB}"/>
    <hyperlink ref="B141" location="RC-47!A1" display="RC-47" xr:uid="{8BFF395F-DA40-452E-9161-3847D78A8BCE}"/>
    <hyperlink ref="B142" location="RC-50A!A1" display="RC-50" xr:uid="{F544473F-F528-4EE1-A836-6F7C76201578}"/>
    <hyperlink ref="B145" location="RC-51!A1" display="RC-51" xr:uid="{4E3536A5-5665-4B20-8C1C-AD63FB913863}"/>
    <hyperlink ref="B150" location="RC-52!A1" display="RC-52" xr:uid="{D7A5FF2B-FA2C-430B-B44E-AC6822EC2EC8}"/>
    <hyperlink ref="B151" location="RC-55!A1" display="RC-55" xr:uid="{353FAC44-B03D-4CD6-9334-56C172B0662F}"/>
    <hyperlink ref="B152" location="RC-64!A1" display="RC-64" xr:uid="{C7BEBBA1-C116-4596-81A5-3ED68517D916}"/>
    <hyperlink ref="B153" location="RC-67!A1" display="RC-67" xr:uid="{BC4A78BD-99D2-4FE0-904F-DC8D7CBA0779}"/>
    <hyperlink ref="B154" location="RC-68!A1" display="RC-68" xr:uid="{3C485F7B-3BCD-400F-89FA-012AE42FF4DB}"/>
    <hyperlink ref="B155" location="RC-69!A1" display="RC-69" xr:uid="{33FCE62B-F4C8-4A28-8EE8-8D8ACF0B802A}"/>
    <hyperlink ref="B156" location="RC-74!A1" display="RC-74" xr:uid="{9119369B-F594-4BC7-89B8-0C14A67A08F1}"/>
    <hyperlink ref="B83" location="RC-22!A1" display="RC-22" xr:uid="{356DE39F-55A3-45C0-A978-7CC8929BDFF0}"/>
    <hyperlink ref="B113" location="' RC-40A'!A1" display="RC-40A" xr:uid="{5A060BCC-D0D1-4EA2-A316-5B9302F108D0}"/>
    <hyperlink ref="B89" location="RC-66!A1" display="RC-66" xr:uid="{09825003-7CCD-4561-8C49-1A9745E9E4E8}"/>
    <hyperlink ref="B144" location="RC-50A!A1" display="RC-50" xr:uid="{4CFDBBCD-4FE9-49DC-99B9-92DEDDEB541A}"/>
    <hyperlink ref="B143" location="RC-50A!A1" display="RC-50" xr:uid="{409AECF9-59A3-4844-8B0C-E26109E737B2}"/>
    <hyperlink ref="B72" location="RC-18!A1" display="RC-18" xr:uid="{51F55042-C368-47FD-98C9-04FEE22C6BB5}"/>
    <hyperlink ref="B132" location="null!A1" display="RC-49" xr:uid="{A70668BC-189A-4F38-9FDB-DC8B25213E68}"/>
    <hyperlink ref="B157" location="RC-74!A1" display="RC-74" xr:uid="{5DD77D61-6052-49F0-B21E-219FC888F8B5}"/>
    <hyperlink ref="B75" location="RC-20!A1" display="RC-20" xr:uid="{E1A035D9-BA8C-4029-9B0B-FB2205163BAB}"/>
    <hyperlink ref="B76" location="RC-20!A1" display="RC-20" xr:uid="{269BE077-1647-43FE-A35A-F60DBD534BEF}"/>
    <hyperlink ref="B77" location="RC-20!A1" display="RC-20" xr:uid="{438F0E98-F453-4D25-8F6C-B83B8091699A}"/>
    <hyperlink ref="B78" location="RC-20!A1" display="RC-20" xr:uid="{13CDE26D-3CF4-4F90-A065-FD090CEF5BB3}"/>
    <hyperlink ref="B79" location="RC-20!A1" display="RC-20" xr:uid="{A96DE5B1-9CBE-49EA-92C7-A16532F5E632}"/>
    <hyperlink ref="B39" location="RC-7!A1" display="RC-7" xr:uid="{A8F956F0-BFED-485D-AA64-799A480B7BA9}"/>
    <hyperlink ref="B94" location="RC-29!A1" display="RC-29" xr:uid="{B39CB8D5-6D1C-445D-A5C8-81F67ACDA408}"/>
  </hyperlinks>
  <printOptions horizontalCentered="1"/>
  <pageMargins left="0.27559055118110237" right="0.19685039370078741" top="0.47244094488188981" bottom="0.59055118110236227" header="0" footer="0"/>
  <pageSetup orientation="landscape" r:id="rId2"/>
  <headerFooter>
    <oddHeader>&amp;L&amp;"-,Italic"&amp;9The Great Canadian Meat Company&amp;R&amp;"-,Italic"&amp;9&amp;A</oddHeader>
    <oddFooter>&amp;L&amp;"-,Italic"&amp;9Prepared by Food Technology Consulting 
Approved by: MU&amp;C&amp;"-,Italic"&amp;9Page  &amp;P&amp;R&amp;"-,Italic"&amp;9Revision Date: March 11,2026  Revision# 05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A1C05-5518-4F8E-9AA7-642AF9D3E8B0}"/>
</file>

<file path=customXml/itemProps2.xml><?xml version="1.0" encoding="utf-8"?>
<ds:datastoreItem xmlns:ds="http://schemas.openxmlformats.org/officeDocument/2006/customXml" ds:itemID="{3AB9708A-9F51-46C8-AEDA-558820CFC343}"/>
</file>

<file path=customXml/itemProps3.xml><?xml version="1.0" encoding="utf-8"?>
<ds:datastoreItem xmlns:ds="http://schemas.openxmlformats.org/officeDocument/2006/customXml" ds:itemID="{06AD3023-70FA-46FE-8C95-14D6EE717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2025-01-31T17:56:05Z</dcterms:created>
  <dcterms:modified xsi:type="dcterms:W3CDTF">2026-09-16T20:11:35Z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