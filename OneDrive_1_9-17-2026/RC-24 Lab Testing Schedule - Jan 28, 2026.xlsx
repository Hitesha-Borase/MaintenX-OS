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0" documentId="8_{8D2C993D-9882-44E5-905E-88037F277ED5}" xr6:coauthVersionLast="47" xr6:coauthVersionMax="47" xr10:uidLastSave="{00000000-0000-0000-0000-000000000000}"/>
  <bookViews>
    <workbookView xWindow="-110" yWindow="-110" windowWidth="19420" windowHeight="11500" tabRatio="967" xr2:uid="{00000000-000D-0000-FFFF-FFFF00000000}"/>
  </bookViews>
  <sheets>
    <sheet name="RC-24- template" sheetId="48" r:id="rId1"/>
    <sheet name="by zone" sheetId="52" r:id="rId2"/>
    <sheet name="FCS Testing Log" sheetId="51" r:id="rId3"/>
    <sheet name="2026 line" sheetId="56" r:id="rId4"/>
    <sheet name="air results" sheetId="57" r:id="rId5"/>
    <sheet name="allergen" sheetId="61" r:id="rId6"/>
    <sheet name="drain" sheetId="59" r:id="rId7"/>
    <sheet name="water" sheetId="58" r:id="rId8"/>
    <sheet name="Ingredient" sheetId="60" r:id="rId9"/>
    <sheet name="Product Testing Log " sheetId="53" r:id="rId10"/>
    <sheet name="hands" sheetId="62" r:id="rId11"/>
    <sheet name="Sheet1" sheetId="49" r:id="rId12"/>
    <sheet name="Sheet2" sheetId="50" r:id="rId13"/>
  </sheets>
  <externalReferences>
    <externalReference r:id="rId14"/>
    <externalReference r:id="rId15"/>
    <externalReference r:id="rId16"/>
    <externalReference r:id="rId17"/>
    <externalReference r:id="rId18"/>
    <externalReference r:id="rId19"/>
    <externalReference r:id="rId20"/>
  </externalReferences>
  <definedNames>
    <definedName name="__________________________________________________________________________may14" localSheetId="2">#REF!</definedName>
    <definedName name="__________________________________________________________________________may14">#REF!</definedName>
    <definedName name="_________________________________________________________________________may14" localSheetId="2">#REF!</definedName>
    <definedName name="_________________________________________________________________________may14">#REF!</definedName>
    <definedName name="________________________________________________________________________may14" localSheetId="2">#REF!</definedName>
    <definedName name="________________________________________________________________________may14">#REF!</definedName>
    <definedName name="_______________________________________________________________________may14" localSheetId="2">#REF!</definedName>
    <definedName name="_______________________________________________________________________may14">#REF!</definedName>
    <definedName name="______________________________________________________________________may14" localSheetId="2">#REF!</definedName>
    <definedName name="______________________________________________________________________may14">#REF!</definedName>
    <definedName name="_____________________________________________________________________may14" localSheetId="2">#REF!</definedName>
    <definedName name="_____________________________________________________________________may14">#REF!</definedName>
    <definedName name="____________________________________________________________________may14" localSheetId="2">#REF!</definedName>
    <definedName name="____________________________________________________________________may14">#REF!</definedName>
    <definedName name="___________________________________________________________________may14" localSheetId="2">#REF!</definedName>
    <definedName name="___________________________________________________________________may14">#REF!</definedName>
    <definedName name="__________________________________________________________________may14" localSheetId="2">#REF!</definedName>
    <definedName name="__________________________________________________________________may14">#REF!</definedName>
    <definedName name="_________________________________________________________________may14" localSheetId="2">#REF!</definedName>
    <definedName name="_________________________________________________________________may14">#REF!</definedName>
    <definedName name="________________________________________________________________may14" localSheetId="2">#REF!</definedName>
    <definedName name="________________________________________________________________may14">#REF!</definedName>
    <definedName name="_______________________________________________________________may14" localSheetId="2">#REF!</definedName>
    <definedName name="_______________________________________________________________may14">#REF!</definedName>
    <definedName name="______________________________________________________________may14" localSheetId="2">#REF!</definedName>
    <definedName name="______________________________________________________________may14">#REF!</definedName>
    <definedName name="_____________________________________________________________may14" localSheetId="2">#REF!</definedName>
    <definedName name="_____________________________________________________________may14">#REF!</definedName>
    <definedName name="____________________________________________________________may14" localSheetId="2">#REF!</definedName>
    <definedName name="____________________________________________________________may14">#REF!</definedName>
    <definedName name="___________________________________________________________may14" localSheetId="2">#REF!</definedName>
    <definedName name="___________________________________________________________may14">#REF!</definedName>
    <definedName name="__________________________________________________________may14" localSheetId="2">#REF!</definedName>
    <definedName name="__________________________________________________________may14">#REF!</definedName>
    <definedName name="_________________________________________________________may14" localSheetId="2">#REF!</definedName>
    <definedName name="_________________________________________________________may14">#REF!</definedName>
    <definedName name="________________________________________________________may14" localSheetId="2">#REF!</definedName>
    <definedName name="________________________________________________________may14">#REF!</definedName>
    <definedName name="_______________________________________________________may14" localSheetId="2">#REF!</definedName>
    <definedName name="_______________________________________________________may14">#REF!</definedName>
    <definedName name="______________________________________________________may14" localSheetId="2">#REF!</definedName>
    <definedName name="______________________________________________________may14">#REF!</definedName>
    <definedName name="_____________________________________________________may14" localSheetId="2">#REF!</definedName>
    <definedName name="_____________________________________________________may14">#REF!</definedName>
    <definedName name="____________________________________________________may14" localSheetId="2">#REF!</definedName>
    <definedName name="____________________________________________________may14">#REF!</definedName>
    <definedName name="___________________________________________________may14" localSheetId="2">#REF!</definedName>
    <definedName name="___________________________________________________may14">#REF!</definedName>
    <definedName name="__________________________________________________may14" localSheetId="2">#REF!</definedName>
    <definedName name="__________________________________________________may14">#REF!</definedName>
    <definedName name="_________________________________________________may14" localSheetId="2">#REF!</definedName>
    <definedName name="_________________________________________________may14">#REF!</definedName>
    <definedName name="________________________________________________may14" localSheetId="2">#REF!</definedName>
    <definedName name="________________________________________________may14">#REF!</definedName>
    <definedName name="_______________________________________________may14" localSheetId="2">#REF!</definedName>
    <definedName name="_______________________________________________may14">#REF!</definedName>
    <definedName name="______________________________________________may14" localSheetId="2">#REF!</definedName>
    <definedName name="______________________________________________may14">#REF!</definedName>
    <definedName name="_____________________________________________may14" localSheetId="2">#REF!</definedName>
    <definedName name="_____________________________________________may14">#REF!</definedName>
    <definedName name="____________________________________________may14" localSheetId="2">#REF!</definedName>
    <definedName name="____________________________________________may14">#REF!</definedName>
    <definedName name="___________________________________________may14" localSheetId="2">#REF!</definedName>
    <definedName name="___________________________________________may14">#REF!</definedName>
    <definedName name="__________________________________________may14" localSheetId="2">#REF!</definedName>
    <definedName name="__________________________________________may14">#REF!</definedName>
    <definedName name="_________________________________________may14" localSheetId="2">#REF!</definedName>
    <definedName name="_________________________________________may14">#REF!</definedName>
    <definedName name="________________________________________may14" localSheetId="2">#REF!</definedName>
    <definedName name="________________________________________may14">#REF!</definedName>
    <definedName name="_______________________________________may14" localSheetId="2">#REF!</definedName>
    <definedName name="_______________________________________may14">#REF!</definedName>
    <definedName name="______________________________________may14" localSheetId="2">#REF!</definedName>
    <definedName name="______________________________________may14">#REF!</definedName>
    <definedName name="_____________________________________may14" localSheetId="2">#REF!</definedName>
    <definedName name="_____________________________________may14">#REF!</definedName>
    <definedName name="____________________________________may14" localSheetId="2">#REF!</definedName>
    <definedName name="____________________________________may14">#REF!</definedName>
    <definedName name="___________________________________may14" localSheetId="2">#REF!</definedName>
    <definedName name="___________________________________may14">#REF!</definedName>
    <definedName name="__________________________________may14" localSheetId="2">#REF!</definedName>
    <definedName name="__________________________________may14">#REF!</definedName>
    <definedName name="_________________________________may14" localSheetId="2">#REF!</definedName>
    <definedName name="_________________________________may14">#REF!</definedName>
    <definedName name="________________________________may14" localSheetId="2">#REF!</definedName>
    <definedName name="________________________________may14">#REF!</definedName>
    <definedName name="_______________________________may14" localSheetId="2">#REF!</definedName>
    <definedName name="_______________________________may14">#REF!</definedName>
    <definedName name="______________________________may14" localSheetId="2">#REF!</definedName>
    <definedName name="______________________________may14">#REF!</definedName>
    <definedName name="_____________________________may14" localSheetId="2">#REF!</definedName>
    <definedName name="_____________________________may14">#REF!</definedName>
    <definedName name="____________________________may14" localSheetId="2">#REF!</definedName>
    <definedName name="____________________________may14">#REF!</definedName>
    <definedName name="___________________________may14" localSheetId="2">#REF!</definedName>
    <definedName name="___________________________may14">#REF!</definedName>
    <definedName name="__________________________may14" localSheetId="2">#REF!</definedName>
    <definedName name="__________________________may14">#REF!</definedName>
    <definedName name="_________________________may14" localSheetId="2">#REF!</definedName>
    <definedName name="_________________________may14">#REF!</definedName>
    <definedName name="________________________may14" localSheetId="2">#REF!</definedName>
    <definedName name="________________________may14">#REF!</definedName>
    <definedName name="_______________________may14" localSheetId="2">#REF!</definedName>
    <definedName name="_______________________may14">#REF!</definedName>
    <definedName name="______________________may14" localSheetId="2">#REF!</definedName>
    <definedName name="______________________may14">#REF!</definedName>
    <definedName name="_____________________may14" localSheetId="2">#REF!</definedName>
    <definedName name="_____________________may14">#REF!</definedName>
    <definedName name="____________________may14" localSheetId="2">#REF!</definedName>
    <definedName name="____________________may14">#REF!</definedName>
    <definedName name="___________________may14" localSheetId="2">#REF!</definedName>
    <definedName name="___________________may14">#REF!</definedName>
    <definedName name="__________________may14" localSheetId="2">#REF!</definedName>
    <definedName name="__________________may14">#REF!</definedName>
    <definedName name="_________________may14" localSheetId="2">#REF!</definedName>
    <definedName name="_________________may14">#REF!</definedName>
    <definedName name="________________may14" localSheetId="2">#REF!</definedName>
    <definedName name="________________may14">#REF!</definedName>
    <definedName name="_______________may14" localSheetId="2">#REF!</definedName>
    <definedName name="_______________may14">#REF!</definedName>
    <definedName name="______________may14" localSheetId="2">#REF!</definedName>
    <definedName name="______________may14">#REF!</definedName>
    <definedName name="_____________may14" localSheetId="2">#REF!</definedName>
    <definedName name="_____________may14">#REF!</definedName>
    <definedName name="____________may14" localSheetId="2">#REF!</definedName>
    <definedName name="____________may14">#REF!</definedName>
    <definedName name="___________may14" localSheetId="2">#REF!</definedName>
    <definedName name="___________may14">#REF!</definedName>
    <definedName name="__________may14" localSheetId="2">#REF!</definedName>
    <definedName name="__________may14">#REF!</definedName>
    <definedName name="_________may14" localSheetId="2">#REF!</definedName>
    <definedName name="_________may14">#REF!</definedName>
    <definedName name="________may14" localSheetId="2">#REF!</definedName>
    <definedName name="________may14">#REF!</definedName>
    <definedName name="_______may14" localSheetId="2">#REF!</definedName>
    <definedName name="_______may14">#REF!</definedName>
    <definedName name="______may14" localSheetId="2">#REF!</definedName>
    <definedName name="______may14">#REF!</definedName>
    <definedName name="_____may14" localSheetId="2">#REF!</definedName>
    <definedName name="_____may14">#REF!</definedName>
    <definedName name="____may14" localSheetId="2">#REF!</definedName>
    <definedName name="____may14">#REF!</definedName>
    <definedName name="___may14" localSheetId="2">#REF!</definedName>
    <definedName name="___may14">#REF!</definedName>
    <definedName name="__may14" localSheetId="2">#REF!</definedName>
    <definedName name="__may14">#REF!</definedName>
    <definedName name="_apr" localSheetId="2">#REF!</definedName>
    <definedName name="_apr">#REF!</definedName>
    <definedName name="_may14" localSheetId="2">#REF!</definedName>
    <definedName name="_may14">#REF!</definedName>
    <definedName name="_May14v2" localSheetId="2">#REF!</definedName>
    <definedName name="_May14v2">#REF!</definedName>
    <definedName name="a" localSheetId="2">#REF!</definedName>
    <definedName name="a">#REF!</definedName>
    <definedName name="aa" localSheetId="2">#REF!</definedName>
    <definedName name="aa">#REF!</definedName>
    <definedName name="Abc" localSheetId="2">#REF!</definedName>
    <definedName name="Abc">#REF!</definedName>
    <definedName name="Affected">[1]Data!$A$40:$A$46</definedName>
    <definedName name="AprSun1">#N/A</definedName>
    <definedName name="AugSun1">#N/A</definedName>
    <definedName name="b" localSheetId="2">#REF!</definedName>
    <definedName name="b">#REF!</definedName>
    <definedName name="bbb" localSheetId="2">#REF!</definedName>
    <definedName name="bbb">#REF!</definedName>
    <definedName name="Boolean">[1]Data!$A$93:$A$95</definedName>
    <definedName name="CalendarYear">'[2]RC-90'!$AD$1</definedName>
    <definedName name="CCP_Name">[1]Data!$A$60:$A$62</definedName>
    <definedName name="ddd" localSheetId="2">#REF!</definedName>
    <definedName name="ddd">#REF!</definedName>
    <definedName name="DecSun1" localSheetId="2">DATE(CalendarYear,12,1)-WEEKDAY(DATE(CalendarYear,12,1))</definedName>
    <definedName name="DecSun1" localSheetId="9">DATE(CalendarYear,12,1)-WEEKDAY(DATE(CalendarYear,12,1))</definedName>
    <definedName name="DecSun1">DATE(CalendarYear,12,1)-WEEKDAY(DATE(CalendarYear,12,1))</definedName>
    <definedName name="Desc" localSheetId="2">#REF!</definedName>
    <definedName name="Desc">#REF!</definedName>
    <definedName name="Description">[3]Sheet1!$A$10:$A$18</definedName>
    <definedName name="Detect_of_Milk_Residue___Casein_or_Whey___by_using_Neogen___Veratox_Total_Milk_Allergen_Test_Kit" localSheetId="2">#REF!</definedName>
    <definedName name="Detect_of_Milk_Residue___Casein_or_Whey___by_using_Neogen___Veratox_Total_Milk_Allergen_Test_Kit">#REF!</definedName>
    <definedName name="DI" localSheetId="2">#REF!</definedName>
    <definedName name="DI">#REF!</definedName>
    <definedName name="DKWED23SKHDS2DHLKWS" localSheetId="2">#REF!</definedName>
    <definedName name="DKWED23SKHDS2DHLKWS">#REF!</definedName>
    <definedName name="dodod" localSheetId="2">#REF!</definedName>
    <definedName name="dodod">#REF!</definedName>
    <definedName name="ef" localSheetId="2">#REF!</definedName>
    <definedName name="ef">#REF!</definedName>
    <definedName name="EMP_LIST" localSheetId="2">#REF!</definedName>
    <definedName name="EMP_LIST">#REF!</definedName>
    <definedName name="EmpListEland" localSheetId="2">#REF!</definedName>
    <definedName name="EmpListEland">#REF!</definedName>
    <definedName name="EmployeeList">'[4]RC-50'!$A$3:$Y$78</definedName>
    <definedName name="Excel_BuiltIn_Print_Area_1" localSheetId="2">#REF!</definedName>
    <definedName name="Excel_BuiltIn_Print_Area_1">#REF!</definedName>
    <definedName name="fdds" localSheetId="2">#REF!</definedName>
    <definedName name="fdds">#REF!</definedName>
    <definedName name="Feb_04_2013" localSheetId="2">#REF!</definedName>
    <definedName name="Feb_04_2013">#REF!</definedName>
    <definedName name="FebSun1" localSheetId="2">DATE(CalendarYear,2,1)-WEEKDAY(DATE(CalendarYear,2,1))</definedName>
    <definedName name="FebSun1" localSheetId="9">DATE(CalendarYear,2,1)-WEEKDAY(DATE(CalendarYear,2,1))</definedName>
    <definedName name="FebSun1">DATE(CalendarYear,2,1)-WEEKDAY(DATE(CalendarYear,2,1))</definedName>
    <definedName name="ggjkn" localSheetId="2">#REF!</definedName>
    <definedName name="ggjkn">#REF!</definedName>
    <definedName name="gm" localSheetId="2">#REF!</definedName>
    <definedName name="gm">#REF!</definedName>
    <definedName name="goca" localSheetId="2">#REF!</definedName>
    <definedName name="goca">#REF!</definedName>
    <definedName name="HACCP_PLan">[1]Data!$A$56:$A$57</definedName>
    <definedName name="hello" localSheetId="2">#REF!</definedName>
    <definedName name="hello">#REF!</definedName>
    <definedName name="hfkdh" localSheetId="2">#REF!</definedName>
    <definedName name="hfkdh">#REF!</definedName>
    <definedName name="hh" localSheetId="2">#REF!</definedName>
    <definedName name="hh">#REF!</definedName>
    <definedName name="hkhkj" localSheetId="2">#REF!</definedName>
    <definedName name="hkhkj">#REF!</definedName>
    <definedName name="ImportantDates" localSheetId="2">'[2]RC-90'!#REF!</definedName>
    <definedName name="ImportantDates">'[2]RC-90'!#REF!</definedName>
    <definedName name="Jan" localSheetId="2">#REF!</definedName>
    <definedName name="Jan">#REF!</definedName>
    <definedName name="JanSun1" localSheetId="2">DATE(CalendarYear,1,1)-WEEKDAY(DATE(CalendarYear,1,1))</definedName>
    <definedName name="JanSun1" localSheetId="9">DATE(CalendarYear,1,1)-WEEKDAY(DATE(CalendarYear,1,1))</definedName>
    <definedName name="JanSun1">DATE(CalendarYear,1,1)-WEEKDAY(DATE(CalendarYear,1,1))</definedName>
    <definedName name="jdjf" localSheetId="2">#REF!</definedName>
    <definedName name="jdjf">#REF!</definedName>
    <definedName name="jj" localSheetId="2">#REF!</definedName>
    <definedName name="jj">#REF!</definedName>
    <definedName name="jksnhdkahbsd" localSheetId="2">#REF!</definedName>
    <definedName name="jksnhdkahbsd">#REF!</definedName>
    <definedName name="JulSun1" localSheetId="2">DATE(CalendarYear,7,1)-WEEKDAY(DATE(CalendarYear,7,1))</definedName>
    <definedName name="JulSun1" localSheetId="9">DATE(CalendarYear,7,1)-WEEKDAY(DATE(CalendarYear,7,1))</definedName>
    <definedName name="JulSun1">DATE(CalendarYear,7,1)-WEEKDAY(DATE(CalendarYear,7,1))</definedName>
    <definedName name="JunSun1" localSheetId="2">DATE(CalendarYear,6,1)-WEEKDAY(DATE(CalendarYear,6,1))</definedName>
    <definedName name="JunSun1" localSheetId="9">DATE(CalendarYear,6,1)-WEEKDAY(DATE(CalendarYear,6,1))</definedName>
    <definedName name="JunSun1">DATE(CalendarYear,6,1)-WEEKDAY(DATE(CalendarYear,6,1))</definedName>
    <definedName name="kdfjngkjdahgj" localSheetId="2">#REF!</definedName>
    <definedName name="kdfjngkjdahgj">#REF!</definedName>
    <definedName name="khmkfg" localSheetId="2">#REF!</definedName>
    <definedName name="khmkfg">#REF!</definedName>
    <definedName name="kmk" localSheetId="2">#REF!</definedName>
    <definedName name="kmk">#REF!</definedName>
    <definedName name="list" localSheetId="2">#REF!</definedName>
    <definedName name="list">#REF!</definedName>
    <definedName name="lol" localSheetId="2">#REF!</definedName>
    <definedName name="lol">#REF!</definedName>
    <definedName name="Manual">[1]Data!$A$75:$A$81</definedName>
    <definedName name="MarSun1" localSheetId="2">DATE(CalendarYear,3,1)-WEEKDAY(DATE(CalendarYear,3,1))</definedName>
    <definedName name="MarSun1" localSheetId="9">DATE(CalendarYear,3,1)-WEEKDAY(DATE(CalendarYear,3,1))</definedName>
    <definedName name="MarSun1">DATE(CalendarYear,3,1)-WEEKDAY(DATE(CalendarYear,3,1))</definedName>
    <definedName name="may" localSheetId="2">#REF!</definedName>
    <definedName name="may">#REF!</definedName>
    <definedName name="MaySun1" localSheetId="2">DATE(CalendarYear,5,1)-WEEKDAY(DATE(CalendarYear,5,1))</definedName>
    <definedName name="MaySun1" localSheetId="9">DATE(CalendarYear,5,1)-WEEKDAY(DATE(CalendarYear,5,1))</definedName>
    <definedName name="MaySun1">DATE(CalendarYear,5,1)-WEEKDAY(DATE(CalendarYear,5,1))</definedName>
    <definedName name="mf" localSheetId="2">#REF!</definedName>
    <definedName name="mf">#REF!</definedName>
    <definedName name="micro" localSheetId="2">#REF!</definedName>
    <definedName name="micro">#REF!</definedName>
    <definedName name="mil" localSheetId="2">#REF!</definedName>
    <definedName name="mil">#REF!</definedName>
    <definedName name="mile" localSheetId="2">#REF!</definedName>
    <definedName name="mile">#REF!</definedName>
    <definedName name="milena" localSheetId="2">#REF!</definedName>
    <definedName name="milena">#REF!</definedName>
    <definedName name="mimi" localSheetId="2">#REF!</definedName>
    <definedName name="mimi">#REF!</definedName>
    <definedName name="mmmmmmm" localSheetId="2">#REF!</definedName>
    <definedName name="mmmmmmm">#REF!</definedName>
    <definedName name="monitoring" localSheetId="2">#REF!</definedName>
    <definedName name="monitoring">#REF!</definedName>
    <definedName name="month" localSheetId="2">#REF!</definedName>
    <definedName name="month">#REF!</definedName>
    <definedName name="n" localSheetId="2">#REF!</definedName>
    <definedName name="n">#REF!</definedName>
    <definedName name="Name">[1]Data!$A$22:$A$25</definedName>
    <definedName name="nasve" localSheetId="2">#REF!</definedName>
    <definedName name="nasve">#REF!</definedName>
    <definedName name="new" localSheetId="2">#REF!</definedName>
    <definedName name="new">#REF!</definedName>
    <definedName name="nmbcvmb" localSheetId="2">#REF!</definedName>
    <definedName name="nmbcvmb">#REF!</definedName>
    <definedName name="nmn" localSheetId="2">#REF!</definedName>
    <definedName name="nmn">#REF!</definedName>
    <definedName name="No_Infraction" localSheetId="2">#REF!</definedName>
    <definedName name="No_Infraction">#REF!</definedName>
    <definedName name="novo" localSheetId="2">#REF!</definedName>
    <definedName name="novo">#REF!</definedName>
    <definedName name="novooo" localSheetId="2">#REF!</definedName>
    <definedName name="novooo">#REF!</definedName>
    <definedName name="NovSun1" localSheetId="2">DATE(CalendarYear,11,1)-WEEKDAY(DATE(CalendarYear,11,1))</definedName>
    <definedName name="NovSun1" localSheetId="9">DATE(CalendarYear,11,1)-WEEKDAY(DATE(CalendarYear,11,1))</definedName>
    <definedName name="NovSun1">DATE(CalendarYear,11,1)-WEEKDAY(DATE(CalendarYear,11,1))</definedName>
    <definedName name="novvo" localSheetId="2">#REF!</definedName>
    <definedName name="novvo">#REF!</definedName>
    <definedName name="np" localSheetId="2">DATE(CalendarYear,2,1)-WEEKDAY(DATE(CalendarYear,2,1))</definedName>
    <definedName name="np" localSheetId="9">DATE(CalendarYear,2,1)-WEEKDAY(DATE(CalendarYear,2,1))</definedName>
    <definedName name="np">DATE(CalendarYear,2,1)-WEEKDAY(DATE(CalendarYear,2,1))</definedName>
    <definedName name="OctSun1" localSheetId="2">DATE(CalendarYear,10,1)-WEEKDAY(DATE(CalendarYear,10,1))</definedName>
    <definedName name="OctSun1" localSheetId="9">DATE(CalendarYear,10,1)-WEEKDAY(DATE(CalendarYear,10,1))</definedName>
    <definedName name="OctSun1">DATE(CalendarYear,10,1)-WEEKDAY(DATE(CalendarYear,10,1))</definedName>
    <definedName name="OPPOOSPAJ" localSheetId="2">#REF!</definedName>
    <definedName name="OPPOOSPAJ">#REF!</definedName>
    <definedName name="oritu" localSheetId="2">#REF!</definedName>
    <definedName name="oritu">#REF!</definedName>
    <definedName name="P" localSheetId="2">#REF!</definedName>
    <definedName name="P">#REF!</definedName>
    <definedName name="Premises" localSheetId="2">#REF!</definedName>
    <definedName name="Premises">#REF!</definedName>
    <definedName name="Prereq">[1]Data!$A$65:$A$72</definedName>
    <definedName name="_xlnm.Print_Area" localSheetId="0">'RC-24- template'!$A$2:$N$20</definedName>
    <definedName name="_xlnm.Print_Titles" localSheetId="3">'2026 line'!#REF!</definedName>
    <definedName name="_xlnm.Print_Titles" localSheetId="0">'RC-24- template'!$A:$N,'RC-24- template'!$2:$4</definedName>
    <definedName name="Prob">[5]Data!$A$52:$A$56</definedName>
    <definedName name="Programs">[6]Data!$A$2:$A$11</definedName>
    <definedName name="q" localSheetId="2">#REF!</definedName>
    <definedName name="q">#REF!</definedName>
    <definedName name="Raw" localSheetId="2">#REF!</definedName>
    <definedName name="Raw">#REF!</definedName>
    <definedName name="Raw_preparation_packaging_room" localSheetId="2">#REF!</definedName>
    <definedName name="Raw_preparation_packaging_room">#REF!</definedName>
    <definedName name="Raws" localSheetId="2">#REF!</definedName>
    <definedName name="Raws">#REF!</definedName>
    <definedName name="RCxxx" localSheetId="2">#REF!</definedName>
    <definedName name="RCxxx">#REF!</definedName>
    <definedName name="Records">'[7]RC-56'!$A$26:$A$27</definedName>
    <definedName name="sdfsd" localSheetId="2">#REF!</definedName>
    <definedName name="sdfsd">#REF!</definedName>
    <definedName name="sdk" localSheetId="2">#REF!</definedName>
    <definedName name="sdk">#REF!</definedName>
    <definedName name="sds" localSheetId="2">#REF!</definedName>
    <definedName name="sds">#REF!</definedName>
    <definedName name="SepSun1" localSheetId="2">DATE(CalendarYear,9,1)-WEEKDAY(DATE(CalendarYear,9,1))</definedName>
    <definedName name="SepSun1" localSheetId="9">DATE(CalendarYear,9,1)-WEEKDAY(DATE(CalendarYear,9,1))</definedName>
    <definedName name="SepSun1">DATE(CalendarYear,9,1)-WEEKDAY(DATE(CalendarYear,9,1))</definedName>
    <definedName name="Sever">[5]Data!$A$60:$A$64</definedName>
    <definedName name="sfsd" localSheetId="2">#REF!</definedName>
    <definedName name="sfsd">#REF!</definedName>
    <definedName name="Sifting" localSheetId="2">#REF!</definedName>
    <definedName name="Sifting">#REF!</definedName>
    <definedName name="Siftingi" localSheetId="2">#REF!</definedName>
    <definedName name="Siftingi">#REF!</definedName>
    <definedName name="st" localSheetId="2">#REF!</definedName>
    <definedName name="st">#REF!</definedName>
    <definedName name="stefan" localSheetId="2">#REF!</definedName>
    <definedName name="stefan">#REF!</definedName>
    <definedName name="stefan1" localSheetId="2">#REF!</definedName>
    <definedName name="stefan1">#REF!</definedName>
    <definedName name="Task_Table" localSheetId="2">#REF!</definedName>
    <definedName name="Task_Table">#REF!</definedName>
    <definedName name="TaskOwner" localSheetId="2">#REF!</definedName>
    <definedName name="TaskOwner">#REF!</definedName>
    <definedName name="Title">[1]Data!$A$28:$A$31</definedName>
    <definedName name="Trends">[1]Data!$A$84:$A$90</definedName>
    <definedName name="Type">[3]Sheet1!$A$4:$A$6</definedName>
    <definedName name="TypeA" localSheetId="2">#REF!</definedName>
    <definedName name="TypeA">#REF!</definedName>
    <definedName name="u" localSheetId="2">#REF!</definedName>
    <definedName name="u">#REF!</definedName>
    <definedName name="Unit">[1]Data!$A$49:$A$53</definedName>
    <definedName name="vesna" localSheetId="2">#REF!</definedName>
    <definedName name="vesna">#REF!</definedName>
    <definedName name="w" localSheetId="2">#REF!</definedName>
    <definedName name="w">#REF!</definedName>
    <definedName name="xxxx" localSheetId="2">#REF!</definedName>
    <definedName name="xxxx">#REF!</definedName>
    <definedName name="Year">[1]Data!$A$34:$A$37</definedName>
    <definedName name="yy" localSheetId="2">#REF!</definedName>
    <definedName name="yy">#REF!</definedName>
    <definedName name="z" localSheetId="2">#REF!</definedName>
    <definedName name="z">#REF!</definedName>
    <definedName name="ZXAXAXXAAAAAAAAAAAAAAAAAAAAAAAAAAAAAAAAAAAAA" localSheetId="2">#REF!</definedName>
    <definedName name="ZXAXAXXAAAAAAAAAAAAAAAAAAAAAAAAAAAAAAAAAAAAA">#REF!</definedName>
    <definedName name="zzzccvcv" localSheetId="2">#REF!</definedName>
    <definedName name="zzzccvcv">#REF!</definedName>
  </definedNames>
  <calcPr calcId="191028"/>
  <customWorkbookViews>
    <customWorkbookView name="Filter 1" guid="{4BF20491-7026-4471-B368-240266DAC8E9}"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49" l="1" a="1"/>
  <c r="A22" i="4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<sst xmlns="http://schemas.openxmlformats.org/spreadsheetml/2006/main" count="943" uniqueCount="454">
  <si>
    <t xml:space="preserve">LAB TESTING SCHEDULE- Refer to the external file under shared drive </t>
  </si>
  <si>
    <t>HACCP Coordinator / SQFP collects and sends samples to external laboratory as per schedule indicated below. Monitor, sign and date  that the results are within the limits immediately after results are received. For all water sources, refer to Plant Schematic; Initial when it's done. Food Safety Consultant verifies record semi-annually.</t>
  </si>
  <si>
    <t>Testing Type / Standard / Limits</t>
  </si>
  <si>
    <t>Freq</t>
  </si>
  <si>
    <t>Month/Initial/Date; Year: 2026</t>
  </si>
  <si>
    <t>Jan</t>
  </si>
  <si>
    <t>Feb</t>
  </si>
  <si>
    <t>Mar</t>
  </si>
  <si>
    <t>Apr</t>
  </si>
  <si>
    <t>May</t>
  </si>
  <si>
    <t>Jun</t>
  </si>
  <si>
    <t>Jul</t>
  </si>
  <si>
    <t>Aug</t>
  </si>
  <si>
    <t>Sep</t>
  </si>
  <si>
    <t>Oct</t>
  </si>
  <si>
    <t>Nov</t>
  </si>
  <si>
    <t>Dec</t>
  </si>
  <si>
    <r>
      <rPr>
        <b/>
        <sz val="10"/>
        <color rgb="FF000000"/>
        <rFont val="Calibri"/>
        <family val="2"/>
      </rPr>
      <t xml:space="preserve">FINISHED PRODUCT: (A) Cat 1-Cooked-Fermented - (1) Mild/ Hot Meat &amp; Cheese products (SL: 130 Days &amp; Refrigerated) (2) Summer Meat &amp; Cheese products (SL: 130 Days &amp; Refrigerated) (3) Mild/ Hot BBQ Sausage products (SL: 63 Days &amp; Refrigerated) (B) Cat 2B-Shelf-Stable Fermented/ Acidified - (1) Fermented / Acidified / Salami products (SL: 365 Days &amp; Shelf-stable) (C) Cat 2B- Jerky - jerky products (SL: 365 Days &amp; Shelf-stable)
</t>
    </r>
    <r>
      <rPr>
        <sz val="10"/>
        <color rgb="FF000000"/>
        <rFont val="Calibri"/>
        <family val="2"/>
      </rPr>
      <t xml:space="preserve">Pick 5 random samples (enough for composite) ( Beginning , middle and end of the production is preferred)  from one of the listed category finished products and test for: Listeria (as per CFIA requirements) additional testing if required can be for verification ex; Salmonella spp, Listeria monocytogenes, E. coli 0157:H7 (beef products only), S. aureus and C. perfringens; Rotate product samples to cover all categories and lines 
</t>
    </r>
    <r>
      <rPr>
        <b/>
        <sz val="10"/>
        <color rgb="FF000000"/>
        <rFont val="Calibri"/>
        <family val="2"/>
      </rPr>
      <t xml:space="preserve">Limits: Negative for </t>
    </r>
    <r>
      <rPr>
        <b/>
        <i/>
        <sz val="10"/>
        <color rgb="FF000000"/>
        <rFont val="Calibri"/>
        <family val="2"/>
      </rPr>
      <t>E. coli 0157:H7 (beef products only)</t>
    </r>
    <r>
      <rPr>
        <b/>
        <sz val="10"/>
        <color rgb="FF000000"/>
        <rFont val="Calibri"/>
        <family val="2"/>
      </rPr>
      <t xml:space="preserve">, Negative for Listeria monocytogenes (all products); Negative for </t>
    </r>
    <r>
      <rPr>
        <b/>
        <i/>
        <sz val="10"/>
        <color rgb="FF000000"/>
        <rFont val="Calibri"/>
        <family val="2"/>
      </rPr>
      <t xml:space="preserve">Salmonella </t>
    </r>
    <r>
      <rPr>
        <b/>
        <sz val="10"/>
        <color rgb="FF000000"/>
        <rFont val="Calibri"/>
        <family val="2"/>
      </rPr>
      <t xml:space="preserve">spp. (all products);  &lt; 10 CFU/gm (mL) for </t>
    </r>
    <r>
      <rPr>
        <b/>
        <i/>
        <sz val="10"/>
        <color rgb="FF000000"/>
        <rFont val="Calibri"/>
        <family val="2"/>
      </rPr>
      <t>C. perfringens (all products); &lt; 10 CFU/gm (mL) for S. aureus (all products)                                                                                   Note: refer to QC Manual - Policy #8 Policy on Listeria Monocytogenes in Ready-to-Eat (RTE) Foods</t>
    </r>
  </si>
  <si>
    <t>1x/m</t>
  </si>
  <si>
    <t>* 28 C1-0, C2B-3</t>
  </si>
  <si>
    <t>* 25 C1 -1 , 26 C1 - 1, 25 C 2B - 3</t>
  </si>
  <si>
    <t>* 30-Mar-2026, C1-0, C2B 4</t>
  </si>
  <si>
    <t>* 16 - April C-1 2, C2B 4</t>
  </si>
  <si>
    <t>*13-May-26  C1-1, C2B 4</t>
  </si>
  <si>
    <t>**17-Jun-26  C1-1, C2B 4</t>
  </si>
  <si>
    <t>**15-July-26  C1-1, C2B 4</t>
  </si>
  <si>
    <t>**19-Aug-26  C1-1, C2B 4</t>
  </si>
  <si>
    <t>*</t>
  </si>
  <si>
    <r>
      <rPr>
        <b/>
        <sz val="10"/>
        <color theme="1"/>
        <rFont val="Calibri"/>
        <family val="2"/>
      </rPr>
      <t xml:space="preserve">EQUIPMENT TESTING (mandated Food Contact Surfaces) Packaging lines - Listeria spp.: Category 1 - Once per month (Sausage Table (Unit 8), Repak L1 (Unit 6), Variovac 1 L7 (Unit 6A)), Category 2B - Once every 6 months (Variovac 2 L4 (Unit 6), Autobagger L6 (Unit 6), Weigh Filler L3 (Unit 6))
</t>
    </r>
    <r>
      <rPr>
        <sz val="10"/>
        <color theme="1"/>
        <rFont val="Calibri"/>
        <family val="2"/>
      </rPr>
      <t xml:space="preserve">
(3 hours after start of production, pick random 10 samples from food contact surfaces –  test samples as composite for Listeria species. Swab is taken from 900 cm2 of surface) 
</t>
    </r>
    <r>
      <rPr>
        <b/>
        <sz val="10"/>
        <color theme="1"/>
        <rFont val="Calibri"/>
        <family val="2"/>
      </rPr>
      <t xml:space="preserve">Limits: Negative for Listeria species </t>
    </r>
    <r>
      <rPr>
        <sz val="10"/>
        <color theme="1"/>
        <rFont val="Calibri"/>
        <family val="2"/>
      </rPr>
      <t xml:space="preserve">
</t>
    </r>
    <r>
      <rPr>
        <b/>
        <sz val="10"/>
        <color theme="1"/>
        <rFont val="Calibri"/>
        <family val="2"/>
      </rPr>
      <t>Note:</t>
    </r>
    <r>
      <rPr>
        <sz val="10"/>
        <color theme="1"/>
        <rFont val="Calibri"/>
        <family val="2"/>
      </rPr>
      <t xml:space="preserve"> refer to QC Manual - Policy #8 Policy on Listeria Monocytogenes in Ready-to-Eat (RTE) Foods</t>
    </r>
  </si>
  <si>
    <t>* 28 C1-L1, L7, R8-miss C2B-L4</t>
  </si>
  <si>
    <t>** 25 C1 -1 , 26 C1 - 1, 25 C 2B - 3</t>
  </si>
  <si>
    <t>*30-Mar-2026, C1-0, C2B 4</t>
  </si>
  <si>
    <t>*6 - April C-1 2, C2B 4</t>
  </si>
  <si>
    <t>**15-Jul-26  C1-1, C2B 4</t>
  </si>
  <si>
    <r>
      <t xml:space="preserve">ENVIRONMENTAL TESTING: (mandated Non Food Contact Surfaces) RTE Packaging area - Listeria spp.
</t>
    </r>
    <r>
      <rPr>
        <sz val="10"/>
        <color theme="1"/>
        <rFont val="Calibri"/>
        <family val="2"/>
      </rPr>
      <t xml:space="preserve">(Random 10 samples from </t>
    </r>
    <r>
      <rPr>
        <b/>
        <sz val="10"/>
        <color theme="1"/>
        <rFont val="Calibri"/>
        <family val="2"/>
      </rPr>
      <t>Non</t>
    </r>
    <r>
      <rPr>
        <sz val="10"/>
        <color theme="1"/>
        <rFont val="Calibri"/>
        <family val="2"/>
      </rPr>
      <t xml:space="preserve"> </t>
    </r>
    <r>
      <rPr>
        <b/>
        <sz val="10"/>
        <color theme="1"/>
        <rFont val="Calibri"/>
        <family val="2"/>
      </rPr>
      <t>Food Contact Surfaces</t>
    </r>
    <r>
      <rPr>
        <sz val="10"/>
        <color theme="1"/>
        <rFont val="Calibri"/>
        <family val="2"/>
      </rPr>
      <t xml:space="preserve"> in RTE packaging area with the zone concept for Zones 2, 3 and 4 at a minimum once a year) (e.g. drains, cracks in floors and walls, smokehouses, floors in heavily-trafficked areas, tires on fork-lift trucks, cleaning tools (mops, squeegees, brushes), trash cans, under-side of conveyor belts, hollow rollers, roller guards, bearings, overhead pipes, drip pans, maintenance tools) 
</t>
    </r>
    <r>
      <rPr>
        <b/>
        <sz val="10"/>
        <color theme="1"/>
        <rFont val="Calibri"/>
        <family val="2"/>
      </rPr>
      <t>Limits: Negative for Listeria species                                                                        Note: refer to QC Manual - Policy #8 Policy on Listeria Monocytogenes in Ready-to-Eat (RTE) Foods</t>
    </r>
  </si>
  <si>
    <t>1x/y</t>
  </si>
  <si>
    <t>* 13-May-2026</t>
  </si>
  <si>
    <r>
      <t xml:space="preserve">WATER TESTING
</t>
    </r>
    <r>
      <rPr>
        <sz val="10"/>
        <color rgb="FF000000"/>
        <rFont val="Calibri"/>
        <family val="2"/>
      </rPr>
      <t xml:space="preserve">Random 2 samples to be tested for Coliform and E. coli ; rotate the sampling sites;
</t>
    </r>
    <r>
      <rPr>
        <b/>
        <sz val="10"/>
        <color rgb="FF000000"/>
        <rFont val="Calibri"/>
        <family val="2"/>
      </rPr>
      <t xml:space="preserve">Limits:  &lt; 10 cfu/100 ml for E. coli and Total coliforms; </t>
    </r>
    <r>
      <rPr>
        <sz val="10"/>
        <color rgb="FF000000"/>
        <rFont val="Calibri"/>
        <family val="2"/>
      </rPr>
      <t>Refer to Plant Schematic- Water sources for details</t>
    </r>
  </si>
  <si>
    <t>2x/y</t>
  </si>
  <si>
    <t>* 30-March-2026 raw ingredient tap, sink to employee lunchroom</t>
  </si>
  <si>
    <r>
      <rPr>
        <b/>
        <sz val="10"/>
        <color rgb="FF000000"/>
        <rFont val="Calibri"/>
        <family val="2"/>
      </rPr>
      <t xml:space="preserve">ALLERGEN TESTING (Food Contact Surface)
</t>
    </r>
    <r>
      <rPr>
        <sz val="10"/>
        <color rgb="FF000000"/>
        <rFont val="Calibri"/>
        <family val="2"/>
      </rPr>
      <t xml:space="preserve">One composite swab (five food contact locations) from the line to be tested (i.e. soy, mustard, milk); 
</t>
    </r>
    <r>
      <rPr>
        <b/>
        <sz val="10"/>
        <color rgb="FF000000"/>
        <rFont val="Calibri"/>
        <family val="2"/>
      </rPr>
      <t>Limits: None detectable (ND) (&lt;10ppm)</t>
    </r>
  </si>
  <si>
    <t>3x/y</t>
  </si>
  <si>
    <t>* (milk) march 19 2026, V1 &lt;10ppm</t>
  </si>
  <si>
    <t>* (mustard) June 19 2026 V1 &lt;10ppm</t>
  </si>
  <si>
    <t>* (soy)</t>
  </si>
  <si>
    <r>
      <rPr>
        <b/>
        <sz val="10"/>
        <color rgb="FF000000"/>
        <rFont val="Calibri"/>
        <family val="2"/>
      </rPr>
      <t xml:space="preserve">ALLERGEN TESTING (Product)
</t>
    </r>
    <r>
      <rPr>
        <sz val="10"/>
        <color rgb="FF000000"/>
        <rFont val="Calibri"/>
        <family val="2"/>
      </rPr>
      <t xml:space="preserve">One sample of product </t>
    </r>
    <r>
      <rPr>
        <b/>
        <sz val="10"/>
        <color rgb="FF000000"/>
        <rFont val="Calibri"/>
        <family val="2"/>
      </rPr>
      <t>not</t>
    </r>
    <r>
      <rPr>
        <sz val="10"/>
        <color rgb="FF000000"/>
        <rFont val="Calibri"/>
        <family val="2"/>
      </rPr>
      <t xml:space="preserve"> cotaining allergen to be tested (i.e. soy, wheat/gluten, mustard, milk).
Gluten: ≤ 20 ppm; all other allergens: None detectable (ND) (&lt;10ppm)</t>
    </r>
  </si>
  <si>
    <t>* (milk) march 19 2026, product after milk jerky ml12403 11mar 24 march 19 2026</t>
  </si>
  <si>
    <r>
      <t>AIR TESTING</t>
    </r>
    <r>
      <rPr>
        <sz val="10"/>
        <color theme="1"/>
        <rFont val="Calibri"/>
        <family val="2"/>
      </rPr>
      <t xml:space="preserve"> 
(1 plates for TPC and 1 plate for yeast and mould at each site in the RTE packaging area. Open the petri plate obtained from lab in testing sites for ½ hour, then close. Put in cooler and send to the lab). 1 sample in Packaging Room #6A and 2 samples in Packaging Room#6       
</t>
    </r>
    <r>
      <rPr>
        <b/>
        <sz val="10"/>
        <color theme="1"/>
        <rFont val="Calibri"/>
        <family val="2"/>
      </rPr>
      <t>Limits</t>
    </r>
    <r>
      <rPr>
        <sz val="10"/>
        <color theme="1"/>
        <rFont val="Calibri"/>
        <family val="2"/>
      </rPr>
      <t>: ≤ 100 cfu/plate for yeast, mold and TPC.</t>
    </r>
  </si>
  <si>
    <t>*14-May-2026</t>
  </si>
  <si>
    <r>
      <rPr>
        <b/>
        <sz val="11"/>
        <color theme="1"/>
        <rFont val="Calibri"/>
        <family val="2"/>
      </rPr>
      <t>AIR TESTING - Air Compressor</t>
    </r>
    <r>
      <rPr>
        <sz val="10"/>
        <color theme="1"/>
        <rFont val="Calibri"/>
        <family val="2"/>
      </rPr>
      <t xml:space="preserve">
(1 plates for TPC and 1 plate for yeast and mould from airline supplied by compressor. Open the petri plate obtained from lab in testing sites for ½ hour, then close. Put in cooler and send to the lab).           
</t>
    </r>
    <r>
      <rPr>
        <b/>
        <sz val="10"/>
        <color theme="1"/>
        <rFont val="Calibri"/>
        <family val="2"/>
      </rPr>
      <t>Limits</t>
    </r>
    <r>
      <rPr>
        <sz val="10"/>
        <color theme="1"/>
        <rFont val="Calibri"/>
        <family val="2"/>
      </rPr>
      <t>: ≤ 100 Cfu/plate for yeast, mold and TPC.</t>
    </r>
  </si>
  <si>
    <r>
      <rPr>
        <b/>
        <sz val="9"/>
        <color theme="1"/>
        <rFont val="Calibri"/>
        <family val="2"/>
      </rPr>
      <t xml:space="preserve">FINISHED PRODUCT TESTING (each NEW PRODUCTS) - Shelf life validation </t>
    </r>
    <r>
      <rPr>
        <sz val="9"/>
        <color theme="1"/>
        <rFont val="Calibri"/>
        <family val="2"/>
      </rPr>
      <t xml:space="preserve">
(Take 1 representative sample of the following groups: Each testing: ACC, Total Coliforms, Yeast/Mould; Salmonella spp, Listeria mono, E.Coli 0157:H7, S. aureus; C. perfringens
</t>
    </r>
    <r>
      <rPr>
        <b/>
        <sz val="9"/>
        <color theme="1"/>
        <rFont val="Calibri"/>
        <family val="2"/>
      </rPr>
      <t>Limits:</t>
    </r>
    <r>
      <rPr>
        <sz val="9"/>
        <color theme="1"/>
        <rFont val="Calibri"/>
        <family val="2"/>
      </rPr>
      <t xml:space="preserve"> &lt;10,000 cfu/g ml ACC;  &lt; 10 cfu/g ml Total Coliform;&lt; 1000 cfu/g ml Yeast/Mould;
Negative Listeria mono; Negative for Salmonella spp.  
Negative for E.Coli 0157:H7;
&lt; 10 cfu/g ml  S. aureus
&lt; 10 cfu/g ml  C. perfringens;
</t>
    </r>
    <r>
      <rPr>
        <b/>
        <sz val="9"/>
        <color theme="1"/>
        <rFont val="Calibri"/>
        <family val="2"/>
      </rPr>
      <t>Note:</t>
    </r>
    <r>
      <rPr>
        <sz val="9"/>
        <color theme="1"/>
        <rFont val="Calibri"/>
        <family val="2"/>
      </rPr>
      <t xml:space="preserve"> pathogen screening is only carried out at the beginning of shelf-life.</t>
    </r>
  </si>
  <si>
    <t>* June 2026 Meat and Cheese</t>
  </si>
  <si>
    <r>
      <rPr>
        <b/>
        <sz val="10"/>
        <color rgb="FF000000"/>
        <rFont val="Calibri"/>
        <family val="2"/>
      </rPr>
      <t xml:space="preserve">FINISHED PRODUCT TESTING (EXISTING PRODUCTS)- Shelf life Evaluation (In house- As required): 
</t>
    </r>
    <r>
      <rPr>
        <sz val="10"/>
        <color rgb="FF000000"/>
        <rFont val="Calibri"/>
        <family val="2"/>
      </rPr>
      <t>(Take 1 representative sample to be evaluated on a weekly basis, from beginning of shelf-life, until approx. 20% past end of shelf life: Each testing: Appearance, Texture, Taste/Flavour, Smell or by lab at start and end of life</t>
    </r>
  </si>
  <si>
    <r>
      <rPr>
        <b/>
        <sz val="10"/>
        <color theme="1"/>
        <rFont val="Calibri"/>
        <family val="2"/>
      </rPr>
      <t xml:space="preserve">INGREDIENT TESTING
</t>
    </r>
    <r>
      <rPr>
        <sz val="10"/>
        <color theme="1"/>
        <rFont val="Calibri"/>
        <family val="2"/>
      </rPr>
      <t>Pick a raw ingredient (i.e. spices, cheese stick, sugar, etc) and send to lab for microbial testing per ingredient specification;</t>
    </r>
    <r>
      <rPr>
        <b/>
        <sz val="10"/>
        <color theme="1"/>
        <rFont val="Calibri"/>
        <family val="2"/>
      </rPr>
      <t xml:space="preserve">
Limits: Refer to ingredient specification for limits specific to each raw ingredient</t>
    </r>
  </si>
  <si>
    <t>* June 2026 Brown Sugar</t>
  </si>
  <si>
    <r>
      <rPr>
        <b/>
        <sz val="11"/>
        <color theme="1"/>
        <rFont val="Calibri"/>
        <family val="2"/>
      </rPr>
      <t>INGREDIENT TESTING: Speciation (authenticity and food fraud)</t>
    </r>
    <r>
      <rPr>
        <sz val="11"/>
        <color theme="1"/>
        <rFont val="Calibri"/>
        <family val="2"/>
      </rPr>
      <t xml:space="preserve">
</t>
    </r>
    <r>
      <rPr>
        <sz val="10"/>
        <color theme="1"/>
        <rFont val="Calibri"/>
        <family val="2"/>
      </rPr>
      <t>Pick a raw meat / poultry sample before use to check for economically motivated adulteration / substitution (Send 100 g of sample to laboratory for species analysis)</t>
    </r>
  </si>
  <si>
    <r>
      <rPr>
        <b/>
        <sz val="11"/>
        <color rgb="FF000000"/>
        <rFont val="Calibri"/>
        <family val="2"/>
      </rPr>
      <t xml:space="preserve">INGREDIENT TESTING: Speciation (post-changeover cleaning)
</t>
    </r>
    <r>
      <rPr>
        <sz val="10"/>
        <color rgb="FF000000"/>
        <rFont val="Calibri"/>
        <family val="2"/>
      </rPr>
      <t>Pick a raw meat / poultry sample at the beginning of a run, post-changeover and send to laboratory for species analysis)</t>
    </r>
  </si>
  <si>
    <r>
      <t xml:space="preserve">ENVIRONMENTAL TESTING: Non-FCS (Listeria spp.) - GMPs &amp; Personnel Hygiene
</t>
    </r>
    <r>
      <rPr>
        <sz val="10"/>
        <color theme="1"/>
        <rFont val="Calibri"/>
        <family val="2"/>
      </rPr>
      <t xml:space="preserve">Swab employee hands 'after' handwashing and before entering the plant. Take minimum 10 readings. Refer to plant Schematic for cross-contamination points. Record the reading on RC-22 or RC-23 
</t>
    </r>
    <r>
      <rPr>
        <b/>
        <sz val="10"/>
        <color theme="1"/>
        <rFont val="Calibri"/>
        <family val="2"/>
      </rPr>
      <t xml:space="preserve">Limits: &lt; 20 RLUs per reading (ATP swabs) </t>
    </r>
  </si>
  <si>
    <r>
      <rPr>
        <b/>
        <sz val="11"/>
        <color rgb="FF000000"/>
        <rFont val="Calibri"/>
        <family val="2"/>
        <scheme val="minor"/>
      </rPr>
      <t xml:space="preserve">DRAIN TESTING
</t>
    </r>
    <r>
      <rPr>
        <sz val="11"/>
        <color rgb="FF000000"/>
        <rFont val="Calibri"/>
        <family val="2"/>
        <scheme val="minor"/>
      </rPr>
      <t xml:space="preserve">(1 drain on rotational basis tested on Listeria monocytogenes), refer to Plant Schematic for drain location
</t>
    </r>
    <r>
      <rPr>
        <b/>
        <sz val="11"/>
        <color rgb="FF000000"/>
        <rFont val="Calibri"/>
        <family val="2"/>
        <scheme val="minor"/>
      </rPr>
      <t>Limits: Negative for Listeria Mono.</t>
    </r>
    <r>
      <rPr>
        <sz val="11"/>
        <color rgb="FF000000"/>
        <rFont val="Calibri"/>
        <family val="2"/>
        <scheme val="minor"/>
      </rPr>
      <t xml:space="preserve"> </t>
    </r>
  </si>
  <si>
    <t>* 16 - April 2026</t>
  </si>
  <si>
    <r>
      <rPr>
        <b/>
        <sz val="11"/>
        <color theme="1"/>
        <rFont val="Calibri"/>
        <family val="2"/>
        <scheme val="minor"/>
      </rPr>
      <t xml:space="preserve">Uniforms:  effectiveness of sanitation. </t>
    </r>
    <r>
      <rPr>
        <sz val="11"/>
        <color theme="1"/>
        <rFont val="Calibri"/>
        <family val="2"/>
        <scheme val="minor"/>
      </rPr>
      <t xml:space="preserve">
Once a year, randomly swab 5 uniforms that arrive from laundering company. Swab can be tested as a composite .
</t>
    </r>
    <r>
      <rPr>
        <b/>
        <sz val="11"/>
        <color theme="1"/>
        <rFont val="Calibri"/>
        <family val="2"/>
        <scheme val="minor"/>
      </rPr>
      <t>Critical Limits: Negative for Listeria monocytogenes</t>
    </r>
  </si>
  <si>
    <t>* - march 30 2026 - negative</t>
  </si>
  <si>
    <t>Record Review Date/ Verifier's Initials: _Mar 11 2026_ / ____Sk___  On-site Observation Date/ Verifier's Initials: __March 11/26____  / _SC_____</t>
  </si>
  <si>
    <t>Record Review Date/ Verifier's Initials: _Aug 24 2026_ / ____Sk___  On-site Observation Date/ Verifier's Initials: __Aug 24 /26____  / _SC_____</t>
  </si>
  <si>
    <t>Date</t>
  </si>
  <si>
    <t>month</t>
  </si>
  <si>
    <t>Line</t>
  </si>
  <si>
    <t>Zone</t>
  </si>
  <si>
    <t>swab</t>
  </si>
  <si>
    <t>result</t>
  </si>
  <si>
    <t>January -Repack Line 1</t>
  </si>
  <si>
    <t xml:space="preserve">Repack - Line 1 </t>
  </si>
  <si>
    <t>ss side plate ,ss side plate r, pack film bottom, glove, glove</t>
  </si>
  <si>
    <t xml:space="preserve">apron, apron, bag liner, bag liner, pack film top </t>
  </si>
  <si>
    <t>January -V2 line 4</t>
  </si>
  <si>
    <t>v2 - Line 4</t>
  </si>
  <si>
    <t>glove, glove, ss side plate l, ss side plate r, apron</t>
  </si>
  <si>
    <t>January - V2 line 4</t>
  </si>
  <si>
    <t>apron, pack film, liner, scissors, ss plate end</t>
  </si>
  <si>
    <t>January - V1 Line 7</t>
  </si>
  <si>
    <t>v1 - L7</t>
  </si>
  <si>
    <t>glove, glove, apron, apron ,ss side plate</t>
  </si>
  <si>
    <t>v1-L7</t>
  </si>
  <si>
    <t>ss plate, ss tray, scissors, pack film, bag liner</t>
  </si>
  <si>
    <t>February - repack line 1</t>
  </si>
  <si>
    <t>scissor, glove, apron, side guard r, side guard l</t>
  </si>
  <si>
    <t>glove, apron, film, liner, table</t>
  </si>
  <si>
    <t>February - autobagger Line 6</t>
  </si>
  <si>
    <t>Autobagger - L6</t>
  </si>
  <si>
    <t>hopper, hopper cone, dome plate, divider plate, weigh cup big</t>
  </si>
  <si>
    <t>weigh cup small, bottom slide, incline belt, shaker, bag liner</t>
  </si>
  <si>
    <t>February - V1 Line 7</t>
  </si>
  <si>
    <t>V1-L7</t>
  </si>
  <si>
    <t>glove, glove, glove, glove, side guard left</t>
  </si>
  <si>
    <t>side guard right, pack film, front guard, tray, liner</t>
  </si>
  <si>
    <t>February - V2 Line 4</t>
  </si>
  <si>
    <t>V2-L4</t>
  </si>
  <si>
    <t>glove, apron, glove, apron, scissor</t>
  </si>
  <si>
    <t>side guard left, side guard right, bag liner, stainless plate guard, packaging film</t>
  </si>
  <si>
    <t>February - Sausage</t>
  </si>
  <si>
    <t>sausage</t>
  </si>
  <si>
    <t>glove, apron, sleeve, glove, sleeve</t>
  </si>
  <si>
    <t>February-Sausage</t>
  </si>
  <si>
    <t>scissor, stainless table, truck handle right, truck handle left, vaccum bag</t>
  </si>
  <si>
    <t>March - Repack Line 1</t>
  </si>
  <si>
    <t>liner, left panel, rightpanel, top panel,scissors</t>
  </si>
  <si>
    <t>30_mar</t>
  </si>
  <si>
    <t>apron, film top,bluesleeve employee,gloves, film bottom</t>
  </si>
  <si>
    <t>March - V1 Line 7</t>
  </si>
  <si>
    <t xml:space="preserve"> apron,gloves, film,blue sleeves, scissor</t>
  </si>
  <si>
    <t>apron, top panel, left panel, liner,right panel</t>
  </si>
  <si>
    <t>March - V2 Line 4</t>
  </si>
  <si>
    <t>gloves,toppanel,apron, right panel, left panel</t>
  </si>
  <si>
    <t>liner, gloves, sleeves, scissors, film</t>
  </si>
  <si>
    <t>April-Autobagger</t>
  </si>
  <si>
    <t>blue bin, funnel, oxygen dispenser, cone, vibration plate)</t>
  </si>
  <si>
    <t>big cup, small cup, blue conveyor, shaker hopper, shaker ledge)</t>
  </si>
  <si>
    <t>April-V1 Line 7</t>
  </si>
  <si>
    <t>scissor, right panel, left panel, front panel, stainless tray)</t>
  </si>
  <si>
    <t>scissor, film, gloves, sleeves, liner)</t>
  </si>
  <si>
    <t>April-Repack Line 1</t>
  </si>
  <si>
    <t>front guard, sleeve, apron, liner, gloves)</t>
  </si>
  <si>
    <t>bottom film, top film, scissor, back guard, top guard)</t>
  </si>
  <si>
    <t>April - V2</t>
  </si>
  <si>
    <t>(apron, bottom film, top film, sleeve, glove)</t>
  </si>
  <si>
    <t>right guard, top guard, liner, left guard, scissor)</t>
  </si>
  <si>
    <t>May V1 Line 7</t>
  </si>
  <si>
    <t>top plate, bottom plate, right panel, scissors, tray</t>
  </si>
  <si>
    <t>sleeve, left panel, bin liner, gloves, apron</t>
  </si>
  <si>
    <t>May - Autobagger Line6</t>
  </si>
  <si>
    <t>plastic guard, big cup, stainless bin, blue conveyor, vibration plate)</t>
  </si>
  <si>
    <t>small cup, blue bin, bag, gloves, scoop</t>
  </si>
  <si>
    <t>May- V2 Line 4</t>
  </si>
  <si>
    <t>right side, left guard, top plate, scissors, bottom liner)</t>
  </si>
  <si>
    <t>apron, sleeve, gloves, top liner, bin liner)</t>
  </si>
  <si>
    <t>May-Repack Line 1</t>
  </si>
  <si>
    <t>bottom film, top film, right guard, top guard, apron)</t>
  </si>
  <si>
    <t>left guard, liner,sleeves, gloves, knife)</t>
  </si>
  <si>
    <t>may - sausage</t>
  </si>
  <si>
    <t>glove, sleeve, bar, right handle, apron)</t>
  </si>
  <si>
    <t>left handle, table, sleeves, scissor, bag</t>
  </si>
  <si>
    <t>may - maintenance tool</t>
  </si>
  <si>
    <t>tool</t>
  </si>
  <si>
    <t xml:space="preserve">tool </t>
  </si>
  <si>
    <t>may - jerky sink frame</t>
  </si>
  <si>
    <t>jerky room</t>
  </si>
  <si>
    <t>frame</t>
  </si>
  <si>
    <t>may-maintenance packaging tool box</t>
  </si>
  <si>
    <t>tools packaging</t>
  </si>
  <si>
    <t>may-grey trolley frame</t>
  </si>
  <si>
    <t>may-trolley broom frame</t>
  </si>
  <si>
    <t>may-popper cutter frame</t>
  </si>
  <si>
    <t xml:space="preserve">frame </t>
  </si>
  <si>
    <t>may-table frame</t>
  </si>
  <si>
    <t>may- pump truck handle</t>
  </si>
  <si>
    <t>pump truck</t>
  </si>
  <si>
    <t>may-truck wheel</t>
  </si>
  <si>
    <t>wheel</t>
  </si>
  <si>
    <t>wheels</t>
  </si>
  <si>
    <t>may-outter garbage</t>
  </si>
  <si>
    <t>garbage</t>
  </si>
  <si>
    <t>may-green ladder</t>
  </si>
  <si>
    <t>ladder</t>
  </si>
  <si>
    <t>ladder - tool</t>
  </si>
  <si>
    <t>may-smokehouse panel</t>
  </si>
  <si>
    <t>panel</t>
  </si>
  <si>
    <t>panel/ramp</t>
  </si>
  <si>
    <t>may-jerky cutter wheel</t>
  </si>
  <si>
    <t>may-back wall sanitation</t>
  </si>
  <si>
    <t>wall</t>
  </si>
  <si>
    <t>may-sanitation room back ppe wall</t>
  </si>
  <si>
    <t>may-broom</t>
  </si>
  <si>
    <t>broom</t>
  </si>
  <si>
    <t>may - lunchroom door frame</t>
  </si>
  <si>
    <t>lunchroom</t>
  </si>
  <si>
    <t>maintenance tool - Day 1</t>
  </si>
  <si>
    <t>wheels jerky cutter - day 1</t>
  </si>
  <si>
    <t xml:space="preserve">squeegee - day 1 </t>
  </si>
  <si>
    <t>squeegee</t>
  </si>
  <si>
    <t>drain inside jerky room - vector site</t>
  </si>
  <si>
    <t>drain</t>
  </si>
  <si>
    <t>drain outside jerky room - vector site</t>
  </si>
  <si>
    <t>stainless bin wheel - vector site</t>
  </si>
  <si>
    <t>maintenance tool - Day 2</t>
  </si>
  <si>
    <t>wheels jerky cutter - day 2</t>
  </si>
  <si>
    <t>squeegee - day 2</t>
  </si>
  <si>
    <t>maintenance tool - Day 3</t>
  </si>
  <si>
    <t>wheels jerky cutter - day 3</t>
  </si>
  <si>
    <t>squeegee - day 3</t>
  </si>
  <si>
    <t>June V1 Line 7</t>
  </si>
  <si>
    <t>top liner, bottom liner, sleeves, gloves apron</t>
  </si>
  <si>
    <t>right side, scissor, top guard, left side, stainless tray</t>
  </si>
  <si>
    <t>June V2 Line 4</t>
  </si>
  <si>
    <t>top liner, bottom liner, sleeve, gloves, apron</t>
  </si>
  <si>
    <t>1st top guard, left guard, top panel, right guard, liner</t>
  </si>
  <si>
    <t>June Sausage</t>
  </si>
  <si>
    <t>Sausage</t>
  </si>
  <si>
    <t>table gloves, right handle, left handle, bag</t>
  </si>
  <si>
    <t>gloves 2, apron, sleeve, bar, scissor</t>
  </si>
  <si>
    <t>June Autobagger L6</t>
  </si>
  <si>
    <t>scoop, big cup, cones, gloves, conveyor</t>
  </si>
  <si>
    <t>scissors, blue bin, sleeves, vibrator, hopper</t>
  </si>
  <si>
    <t xml:space="preserve">June Repack - Line 1 </t>
  </si>
  <si>
    <t>top guard, apron, liner, top film, scissor</t>
  </si>
  <si>
    <t>sleeves, bottom film, right side, gloves, left side</t>
  </si>
  <si>
    <t>July V1 Line 7</t>
  </si>
  <si>
    <t>employee apron, employee sleeve, employee gloves, scissors, stainless tray)</t>
  </si>
  <si>
    <t>top film, bottom film, left panel, right panel, bin liner)</t>
  </si>
  <si>
    <t xml:space="preserve">July Repack - Line 1 </t>
  </si>
  <si>
    <t>bin liner, bottom film, right panel, left panel, top panel)</t>
  </si>
  <si>
    <t>employee gloves, employee sleeve, employee apron, top film, plastic top panel)</t>
  </si>
  <si>
    <t>July Autobagger L6</t>
  </si>
  <si>
    <t>blue conveyor, liner, bag, scissor, blue bin)</t>
  </si>
  <si>
    <t>employee gloves, hopper, employee sleeves, big cup, cone</t>
  </si>
  <si>
    <t>July/Aug Sausage</t>
  </si>
  <si>
    <t>bar, bag, table, right handle, left handle</t>
  </si>
  <si>
    <t>scissors, glove, glove2,apron, sleeve,</t>
  </si>
  <si>
    <t>July/Aug V2 Line 4</t>
  </si>
  <si>
    <t>bottom film, top panel, right side guard, left side guard, top film</t>
  </si>
  <si>
    <t>scissors, liner, apron, gloves, sleeves</t>
  </si>
  <si>
    <t xml:space="preserve">Aug Repack - Line 1 </t>
  </si>
  <si>
    <t>liner, top guard, gloves, right side, left side)</t>
  </si>
  <si>
    <t>front guard, top film, Bottom film, apron, sleeve)</t>
  </si>
  <si>
    <t>August - Sausage</t>
  </si>
  <si>
    <t>right handle, left handle, scissors, bag, table)</t>
  </si>
  <si>
    <t>bar. gloves, apron, gloves, sleeves)</t>
  </si>
  <si>
    <t>August Autobagger L6</t>
  </si>
  <si>
    <t>cone, sleeves, gloves, slide, big cup)</t>
  </si>
  <si>
    <t>bluebin, stainless bin, conveyor, scoop, scissors)</t>
  </si>
  <si>
    <t>August V1 Line 7</t>
  </si>
  <si>
    <t>top guard, top liner, bottom liner, tray, liner)</t>
  </si>
  <si>
    <t>scissor tray, scissors, left side, right side, gloves)</t>
  </si>
  <si>
    <t>Aug V2 Line 4</t>
  </si>
  <si>
    <t>sleeves, gloves, apron, scissor, side panel)</t>
  </si>
  <si>
    <t>bin liner, top film, bottom film, top panel, side panel</t>
  </si>
  <si>
    <t>zone</t>
  </si>
  <si>
    <t>RTE FCS Swabs</t>
  </si>
  <si>
    <t>June</t>
  </si>
  <si>
    <t>July</t>
  </si>
  <si>
    <t xml:space="preserve">Oct </t>
  </si>
  <si>
    <t xml:space="preserve">Sausage Table
 (Unit 8)
</t>
  </si>
  <si>
    <t>Not done</t>
  </si>
  <si>
    <t>negative</t>
  </si>
  <si>
    <t>not running</t>
  </si>
  <si>
    <t>Repak L1 (Unit 6)</t>
  </si>
  <si>
    <t>yes</t>
  </si>
  <si>
    <t>Variovac 1 L7 (Unit 6A)</t>
  </si>
  <si>
    <t>Variovac 2 L4 (Unit 6)</t>
  </si>
  <si>
    <t>Autobagger L6 (Unit 6)</t>
  </si>
  <si>
    <t>Weigh Filler L3 (Unit 6)</t>
  </si>
  <si>
    <t>by zone and season</t>
  </si>
  <si>
    <t>YEAR</t>
  </si>
  <si>
    <t>Production Lines</t>
  </si>
  <si>
    <t>V1</t>
  </si>
  <si>
    <t>V2</t>
  </si>
  <si>
    <t>Repak</t>
  </si>
  <si>
    <t>Autobagger</t>
  </si>
  <si>
    <t>NA</t>
  </si>
  <si>
    <t>Uniforms</t>
  </si>
  <si>
    <t>na</t>
  </si>
  <si>
    <t>Drains</t>
  </si>
  <si>
    <t>NonFood Contact</t>
  </si>
  <si>
    <t xml:space="preserve">air (yeast/mold / acc) (non compliance) </t>
  </si>
  <si>
    <t>Air Testing</t>
  </si>
  <si>
    <t>Result</t>
  </si>
  <si>
    <t>date of testing</t>
  </si>
  <si>
    <t>Location</t>
  </si>
  <si>
    <t>Type</t>
  </si>
  <si>
    <r>
      <rPr>
        <u/>
        <sz val="11"/>
        <color rgb="FF000000"/>
        <rFont val="Calibri"/>
        <family val="2"/>
      </rPr>
      <t>Total Plate Count&lt;</t>
    </r>
    <r>
      <rPr>
        <sz val="11"/>
        <color rgb="FF000000"/>
        <rFont val="Calibri"/>
        <family val="2"/>
      </rPr>
      <t> 100 cfu/plate </t>
    </r>
  </si>
  <si>
    <r>
      <rPr>
        <u/>
        <sz val="11"/>
        <color rgb="FF000000"/>
        <rFont val="Calibri"/>
        <family val="2"/>
      </rPr>
      <t>Yeast &lt;</t>
    </r>
    <r>
      <rPr>
        <sz val="11"/>
        <color rgb="FF000000"/>
        <rFont val="Calibri"/>
        <family val="2"/>
      </rPr>
      <t> 100 cfu/plate </t>
    </r>
  </si>
  <si>
    <r>
      <rPr>
        <u/>
        <sz val="11"/>
        <color rgb="FF000000"/>
        <rFont val="Calibri"/>
        <family val="2"/>
      </rPr>
      <t>Mold&lt;</t>
    </r>
    <r>
      <rPr>
        <sz val="11"/>
        <color rgb="FF000000"/>
        <rFont val="Calibri"/>
        <family val="2"/>
      </rPr>
      <t> 100 cfu/plate </t>
    </r>
  </si>
  <si>
    <t>results</t>
  </si>
  <si>
    <t>verified by</t>
  </si>
  <si>
    <t>drying room 2</t>
  </si>
  <si>
    <t>ambinet</t>
  </si>
  <si>
    <t>&lt;1</t>
  </si>
  <si>
    <t>compliant</t>
  </si>
  <si>
    <t>sk</t>
  </si>
  <si>
    <t>drying room 4</t>
  </si>
  <si>
    <t>ambient</t>
  </si>
  <si>
    <t>autobagger</t>
  </si>
  <si>
    <t>packaging bag air</t>
  </si>
  <si>
    <t xml:space="preserve">&lt;1 </t>
  </si>
  <si>
    <t>V1 air nozzle</t>
  </si>
  <si>
    <t>compressed air</t>
  </si>
  <si>
    <t>packaging 6</t>
  </si>
  <si>
    <t>packaging 6a</t>
  </si>
  <si>
    <t>drying room 1</t>
  </si>
  <si>
    <t>drying room 3</t>
  </si>
  <si>
    <t>cooler sausage</t>
  </si>
  <si>
    <t>allergens</t>
  </si>
  <si>
    <t>acceptable results are negative/ &lt;10 ppm for allergens</t>
  </si>
  <si>
    <t>V1 - Product</t>
  </si>
  <si>
    <t>product after milk -Jerky ML12403 - 11-Mar-17</t>
  </si>
  <si>
    <t>ND (not dectected)</t>
  </si>
  <si>
    <t>V1 - Swab</t>
  </si>
  <si>
    <t>swab after milk -Jerky ML12403 - 11-Mar-17</t>
  </si>
  <si>
    <t>0.93ppm</t>
  </si>
  <si>
    <t>peppercorn salami bb 27-may-25 non allergen after milk/mustard</t>
  </si>
  <si>
    <t>&lt;2.5ppm</t>
  </si>
  <si>
    <t xml:space="preserve">swab after milk/mustard meat and cheese </t>
  </si>
  <si>
    <t>ND (not detected)</t>
  </si>
  <si>
    <t>Drain</t>
  </si>
  <si>
    <t>acceptable results are negative for Listeria</t>
  </si>
  <si>
    <t>Listeria</t>
  </si>
  <si>
    <t>repack</t>
  </si>
  <si>
    <t>Water</t>
  </si>
  <si>
    <t>Heterotrophic plate count</t>
  </si>
  <si>
    <t>Total Coliforms</t>
  </si>
  <si>
    <t>Escherichia coli</t>
  </si>
  <si>
    <t>raw</t>
  </si>
  <si>
    <t>water</t>
  </si>
  <si>
    <t>lunchroom hand sink</t>
  </si>
  <si>
    <t>Ingredient Brown Sugar</t>
  </si>
  <si>
    <t>product</t>
  </si>
  <si>
    <t xml:space="preserve">ACC </t>
  </si>
  <si>
    <t>Salmonella</t>
  </si>
  <si>
    <t>Yeast</t>
  </si>
  <si>
    <t>Mold</t>
  </si>
  <si>
    <t>Brown Sugar</t>
  </si>
  <si>
    <t>ingredient</t>
  </si>
  <si>
    <t>140 cfu/g</t>
  </si>
  <si>
    <t>&lt;10cfu/g</t>
  </si>
  <si>
    <t>supplier  spec &lt;1000cfu/g</t>
  </si>
  <si>
    <t>&lt;5 cfu/g</t>
  </si>
  <si>
    <t>&lt;50 cfu/g</t>
  </si>
  <si>
    <t>&lt;20cfu/g</t>
  </si>
  <si>
    <t>acceptable is negative only For Listeria Testing</t>
  </si>
  <si>
    <t xml:space="preserve">RTE Product testing </t>
  </si>
  <si>
    <t xml:space="preserve">Mar </t>
  </si>
  <si>
    <t>15inch Hot Pepperoni 45g BB27JA22 RTE 2B Product - Jan 28, 2026</t>
  </si>
  <si>
    <t>German Salami 250g - BB27JA15 RTE 2B Product - Jan 28, 2026</t>
  </si>
  <si>
    <t>Hot Chorizo 75g -BB27JA20 RTE 2B Product - Jan 28, 2026</t>
  </si>
  <si>
    <t>salami and cheddar, bb 26JL03, Feb 25, 2026</t>
  </si>
  <si>
    <t>smokey pepperoni poppers, bb 6Feb27, Feb 25, 2026</t>
  </si>
  <si>
    <t>canadian maple 45g, bb 19Feb27, Feb 25, 2026</t>
  </si>
  <si>
    <t>old fashion beef jerky Jay bb 20feb27, Feb 25, 2026</t>
  </si>
  <si>
    <t>mild sausage 35000 BB 26Apr26</t>
  </si>
  <si>
    <t>Mild Pepperoni 58g 15537 bb 25-Mar-27</t>
  </si>
  <si>
    <t>jerky original 82g 20073 bb 26mar27</t>
  </si>
  <si>
    <t xml:space="preserve"> mild individual 11200 22g bb 25Mar27</t>
  </si>
  <si>
    <t>mini bacon 50032 bb 23mar27,</t>
  </si>
  <si>
    <t>honey garlic 50033 bb 2April27,</t>
  </si>
  <si>
    <t>jumbo hot15302 bb 6April27,</t>
  </si>
  <si>
    <t>monterey 25304 bb 29June26,</t>
  </si>
  <si>
    <t xml:space="preserve"> 10041 Teriyaki bb 27AL17</t>
  </si>
  <si>
    <t>sausage Mild 35000- 945am bb 26-June-23 cat 1</t>
  </si>
  <si>
    <t xml:space="preserve"> 20035 original jerky bb 27Ma04
</t>
  </si>
  <si>
    <t xml:space="preserve"> 108 hungarian salami bb 27apr-23</t>
  </si>
  <si>
    <t>sausage 18 pack 35000 BB 25-jul-14</t>
  </si>
  <si>
    <t>Mild Jumbo 10302 BB 27 May 04</t>
  </si>
  <si>
    <t>fire 10087 BB 27 May 07</t>
  </si>
  <si>
    <t xml:space="preserve"> 20080 sweet heat BB 12-Jun-27</t>
  </si>
  <si>
    <t xml:space="preserve">15550 individual hot bb 11-june-2027 </t>
  </si>
  <si>
    <t>35000 sausage B aug 19 2026</t>
  </si>
  <si>
    <t>v1</t>
  </si>
  <si>
    <t>50040 mild bulk bb 27-Jun-09</t>
  </si>
  <si>
    <t xml:space="preserve"> 15537 58 g jun 12</t>
  </si>
  <si>
    <t>50050 hot bulk V1 July 9 2027 (190-34)</t>
  </si>
  <si>
    <t>repak</t>
  </si>
  <si>
    <t>15550 hot individual repack 11am BB July 9 2027</t>
  </si>
  <si>
    <t>10100 mild mini autobagger bb 9 july 2027, 3pm</t>
  </si>
  <si>
    <t>35000 mild sausage 18pack 1:40pm BB Oct 6 2026</t>
  </si>
  <si>
    <t>v2</t>
  </si>
  <si>
    <t>v2 15336 hot 70g 10:40am bb 27 July 30</t>
  </si>
  <si>
    <t>Piller Original July 6</t>
  </si>
  <si>
    <t>25.27 g/100g</t>
  </si>
  <si>
    <t>Original July 13 2027</t>
  </si>
  <si>
    <t>32.01 g/100g</t>
  </si>
  <si>
    <t>Original June 10 2027</t>
  </si>
  <si>
    <t>30.23 g/100g</t>
  </si>
  <si>
    <t>Original July 7 2027</t>
  </si>
  <si>
    <t>25.31 g/100g</t>
  </si>
  <si>
    <t>Original June 22 2027</t>
  </si>
  <si>
    <t>29.06 g/100g</t>
  </si>
  <si>
    <t>original jerky 26196-1</t>
  </si>
  <si>
    <t>6907 CHAMPION HOT PEPPERONI 8 aug 2027 sampled aug 12 2026  CFIA repack</t>
  </si>
  <si>
    <t>pork trim 1002 (Jowett) 254773 lot</t>
  </si>
  <si>
    <t>pork</t>
  </si>
  <si>
    <t>11200 22g mild - Repack- 9:15 27AU12</t>
  </si>
  <si>
    <t>20020- Autobagger- 1:00 - 27AU11</t>
  </si>
  <si>
    <t>35100- Hot Sausage- 10:30 26 OCT 20</t>
  </si>
  <si>
    <t>10301 mild jumbo- V1- 1:25 - 27AU11</t>
  </si>
  <si>
    <t>10611- v2- 9:30 bb 27 aug 17</t>
  </si>
  <si>
    <t>handwashing</t>
  </si>
  <si>
    <t>Result  &lt;20rlu accepted</t>
  </si>
  <si>
    <t xml:space="preserve">employee  </t>
  </si>
  <si>
    <t>RLU</t>
  </si>
  <si>
    <t>one</t>
  </si>
  <si>
    <t>two</t>
  </si>
  <si>
    <t>three</t>
  </si>
  <si>
    <t>four</t>
  </si>
  <si>
    <t>five</t>
  </si>
  <si>
    <t>six</t>
  </si>
  <si>
    <t>seven</t>
  </si>
  <si>
    <t>eight</t>
  </si>
  <si>
    <t>nine</t>
  </si>
  <si>
    <t>ten</t>
  </si>
  <si>
    <t>Autobagger-L6 -1 -</t>
  </si>
  <si>
    <t>epak-L1 -1 -</t>
  </si>
  <si>
    <t>V1-L4 -1 - apron</t>
  </si>
  <si>
    <t>V2-L4 -1 - gloves</t>
  </si>
  <si>
    <t>slide, Autobagger-L6</t>
  </si>
  <si>
    <t>liner, Repak-L1 -2</t>
  </si>
  <si>
    <t>2, V1-L4 -2 -</t>
  </si>
  <si>
    <t>2, V2-L4 -2 - top</t>
  </si>
  <si>
    <t>-2 - big cup,</t>
  </si>
  <si>
    <t>- left panel,</t>
  </si>
  <si>
    <t>gloves, V1-L4 -3</t>
  </si>
  <si>
    <t>panel, V2-L4 -3</t>
  </si>
  <si>
    <t>Autobagger-L6 -3</t>
  </si>
  <si>
    <t>Repak-L1 -3 -right</t>
  </si>
  <si>
    <t>-film, V1-L4 -4 -</t>
  </si>
  <si>
    <t>-apron, V2-L4 -4 -</t>
  </si>
  <si>
    <t>-small cup,</t>
  </si>
  <si>
    <t>panel, Repak-L1 -4</t>
  </si>
  <si>
    <t>blue sleeves, V1-L4</t>
  </si>
  <si>
    <t>right panel, V2-L4</t>
  </si>
  <si>
    <t>Autobagger-L6 -4 -</t>
  </si>
  <si>
    <t>- top panel,</t>
  </si>
  <si>
    <t>scissors</t>
  </si>
  <si>
    <t>-5 -left panel</t>
  </si>
  <si>
    <t>depositor,</t>
  </si>
  <si>
    <t>Repak-L1 -5 -</t>
  </si>
  <si>
    <t>V1-L4 -6 -apron,</t>
  </si>
  <si>
    <t>V2-L4 -6 -liner,</t>
  </si>
  <si>
    <t>Autobagger-L6 -5 -</t>
  </si>
  <si>
    <t>V1-L4 -7 - top</t>
  </si>
  <si>
    <t>V2-L4 -7 - gloves,</t>
  </si>
  <si>
    <t>plastic flap</t>
  </si>
  <si>
    <t>epak-L1 -6 -</t>
  </si>
  <si>
    <t>panel, V1-L4 -8</t>
  </si>
  <si>
    <t>V2-L4 -8 - sleeves,</t>
  </si>
  <si>
    <t>utobagger-L6 -6</t>
  </si>
  <si>
    <t>apron, Repak-L1 -7</t>
  </si>
  <si>
    <t>-left panel, V1-L4-9</t>
  </si>
  <si>
    <t>V2-L4-9 - scissors,</t>
  </si>
  <si>
    <t>-cone,</t>
  </si>
  <si>
    <t>- film top,</t>
  </si>
  <si>
    <t>-liner, V1-L4 -10 -</t>
  </si>
  <si>
    <t>V2-L4 -10 - film</t>
  </si>
  <si>
    <t>Autobagger-L6 -7 -</t>
  </si>
  <si>
    <t>Repak-L1 -8 - blue</t>
  </si>
  <si>
    <t>right panel</t>
  </si>
  <si>
    <t>scissors,</t>
  </si>
  <si>
    <t>sleeve employee,</t>
  </si>
  <si>
    <t>Autobagger-L6 -8 -</t>
  </si>
  <si>
    <t>Repak-L1-9 -</t>
  </si>
  <si>
    <t>blue bin,</t>
  </si>
  <si>
    <t>gloves, Repak-L1</t>
  </si>
  <si>
    <t>Autobagger-L6-9 -</t>
  </si>
  <si>
    <t>film bottom</t>
  </si>
  <si>
    <t>hopper,</t>
  </si>
  <si>
    <t>Autobagger-L6 -10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</si>
</sst>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d/mmm/yy;@"/>
  </numFmts>
  <fonts count="48"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0"/>
      <color rgb="FF000000"/>
      <name val="Calibri"/>
      <family val="2"/>
    </font>
    <font>
      <sz val="10"/>
      <color theme="1"/>
      <name val="Calibri"/>
      <family val="2"/>
    </font>
    <font>
      <sz val="11"/>
      <color theme="1"/>
      <name val="Calibri"/>
      <family val="2"/>
    </font>
    <font>
      <b/>
      <sz val="11"/>
      <color rgb="FF000000"/>
      <name val="Calibri"/>
      <family val="2"/>
    </font>
    <font>
      <b/>
      <sz val="12"/>
      <color theme="1"/>
      <name val="Calibri"/>
      <family val="2"/>
    </font>
    <font>
      <b/>
      <sz val="11"/>
      <color theme="1"/>
      <name val="Calibri"/>
      <family val="2"/>
      <scheme val="minor"/>
    </font>
    <font>
      <b/>
      <sz val="11"/>
      <color rgb="FF002060"/>
      <name val="Arial"/>
      <family val="2"/>
    </font>
    <font>
      <b/>
      <sz val="10"/>
      <color theme="1"/>
      <name val="Calibri"/>
      <family val="2"/>
    </font>
    <font>
      <i/>
      <sz val="10"/>
      <color theme="1"/>
      <name val="Calibri"/>
      <family val="2"/>
    </font>
    <font>
      <b/>
      <sz val="9"/>
      <color theme="1"/>
      <name val="Calibri"/>
      <family val="2"/>
    </font>
    <font>
      <b/>
      <sz val="10"/>
      <color rgb="FF000000"/>
      <name val="Calibri"/>
      <family val="2"/>
    </font>
    <font>
      <b/>
      <sz val="8"/>
      <color theme="1"/>
      <name val="Calibri"/>
      <family val="2"/>
    </font>
    <font>
      <sz val="9"/>
      <color theme="1"/>
      <name val="Calibri"/>
      <family val="2"/>
    </font>
    <font>
      <sz val="11"/>
      <color theme="1"/>
      <name val="Arial"/>
      <family val="2"/>
    </font>
    <font>
      <sz val="12"/>
      <color theme="1"/>
      <name val="Calibri"/>
      <family val="2"/>
      <scheme val="minor"/>
    </font>
    <font>
      <u/>
      <sz val="11"/>
      <color theme="10"/>
      <name val="Calibri"/>
      <family val="2"/>
      <scheme val="minor"/>
    </font>
    <font>
      <u/>
      <sz val="10"/>
      <color indexed="12"/>
      <name val="Arial"/>
      <family val="2"/>
    </font>
    <font>
      <sz val="10"/>
      <name val="Arial"/>
      <family val="2"/>
    </font>
    <font>
      <u/>
      <sz val="12"/>
      <color theme="10"/>
      <name val="Calibri"/>
      <family val="2"/>
    </font>
    <font>
      <sz val="11"/>
      <color indexed="8"/>
      <name val="Calibri"/>
      <family val="2"/>
    </font>
    <font>
      <u/>
      <sz val="11"/>
      <color theme="10"/>
      <name val="Arial"/>
      <family val="2"/>
    </font>
    <font>
      <u/>
      <sz val="11"/>
      <color theme="10"/>
      <name val="Calibri"/>
      <family val="2"/>
    </font>
    <font>
      <b/>
      <sz val="11"/>
      <color rgb="FF000000"/>
      <name val="Calibri"/>
      <family val="2"/>
      <scheme val="minor"/>
    </font>
    <font>
      <sz val="11"/>
      <color rgb="FF000000"/>
      <name val="Calibri"/>
      <family val="2"/>
      <scheme val="minor"/>
    </font>
    <font>
      <b/>
      <i/>
      <sz val="10"/>
      <color rgb="FF000000"/>
      <name val="Calibri"/>
      <family val="2"/>
    </font>
    <font>
      <sz val="11"/>
      <color rgb="FF000000"/>
      <name val="Aptos Narrow"/>
      <family val="2"/>
    </font>
    <font>
      <sz val="11"/>
      <color rgb="FF242424"/>
      <name val="Aptos Narrow"/>
      <family val="2"/>
    </font>
    <font>
      <b/>
      <sz val="12"/>
      <color theme="1"/>
      <name val="Calibri"/>
      <family val="2"/>
      <scheme val="minor"/>
    </font>
    <font>
      <u/>
      <sz val="16"/>
      <color theme="1"/>
      <name val="Calibri"/>
      <family val="2"/>
      <scheme val="minor"/>
    </font>
    <font>
      <u/>
      <sz val="11"/>
      <color rgb="FF000000"/>
      <name val="Calibri"/>
      <family val="2"/>
    </font>
    <font>
      <sz val="11"/>
      <color rgb="FF000000"/>
      <name val="Calibri"/>
      <family val="2"/>
    </font>
    <font>
      <sz val="10"/>
      <color rgb="FF000000"/>
      <name val="Calibri"/>
      <family val="2"/>
    </font>
    <font>
      <sz val="12"/>
      <color rgb="FF000000"/>
      <name val="Calibri"/>
      <family val="2"/>
    </font>
  </fonts>
  <fills count="11">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FF0000"/>
        <bgColor indexed="64"/>
      </patternFill>
    </fill>
    <fill>
      <patternFill patternType="solid">
        <fgColor rgb="FFFF0000"/>
        <bgColor rgb="FFF2F2F2"/>
      </patternFill>
    </fill>
    <fill>
      <patternFill patternType="solid">
        <fgColor rgb="FF92D05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D9D9D9"/>
        <bgColor indexed="64"/>
      </patternFill>
    </fill>
    <fill>
      <patternFill patternType="solid">
        <fgColor theme="0" tint="-0.1499984740745262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1">
    <xf numFmtId="0" fontId="0" fillId="0" borderId="0"/>
    <xf numFmtId="0" fontId="13" fillId="0" borderId="3"/>
    <xf numFmtId="9" fontId="13" fillId="0" borderId="3" applyFont="0" applyFill="0" applyBorder="0" applyAlignment="0" applyProtection="0"/>
    <xf numFmtId="0" fontId="31" fillId="0" borderId="3" applyNumberFormat="0" applyFill="0" applyBorder="0" applyAlignment="0" applyProtection="0">
      <alignment vertical="top"/>
      <protection locked="0"/>
    </xf>
    <xf numFmtId="0" fontId="32" fillId="0" borderId="3"/>
    <xf numFmtId="0" fontId="33" fillId="0" borderId="3" applyNumberFormat="0" applyFill="0" applyBorder="0" applyAlignment="0" applyProtection="0"/>
    <xf numFmtId="0" fontId="34" fillId="0" borderId="3"/>
    <xf numFmtId="0" fontId="29" fillId="0" borderId="3"/>
    <xf numFmtId="0" fontId="12" fillId="0" borderId="3"/>
    <xf numFmtId="0" fontId="28" fillId="0" borderId="3"/>
    <xf numFmtId="0" fontId="32" fillId="0" borderId="3"/>
    <xf numFmtId="0" fontId="35" fillId="0" borderId="3" applyNumberFormat="0" applyFill="0" applyBorder="0" applyAlignment="0" applyProtection="0"/>
    <xf numFmtId="0" fontId="11" fillId="0" borderId="3"/>
    <xf numFmtId="0" fontId="11" fillId="0" borderId="3"/>
    <xf numFmtId="0" fontId="32" fillId="0" borderId="3"/>
    <xf numFmtId="0" fontId="32" fillId="0" borderId="3"/>
    <xf numFmtId="0" fontId="34" fillId="0" borderId="3"/>
    <xf numFmtId="0" fontId="36" fillId="0" borderId="3" applyNumberFormat="0" applyFill="0" applyBorder="0" applyAlignment="0" applyProtection="0">
      <alignment vertical="top"/>
      <protection locked="0"/>
    </xf>
    <xf numFmtId="0" fontId="10" fillId="0" borderId="3"/>
    <xf numFmtId="0" fontId="10" fillId="0" borderId="3"/>
    <xf numFmtId="9" fontId="10" fillId="0" borderId="3" applyFont="0" applyFill="0" applyBorder="0" applyAlignment="0" applyProtection="0"/>
    <xf numFmtId="0" fontId="9" fillId="0" borderId="3"/>
    <xf numFmtId="0" fontId="8" fillId="0" borderId="3"/>
    <xf numFmtId="0" fontId="7" fillId="0" borderId="3"/>
    <xf numFmtId="0" fontId="30" fillId="0" borderId="3" applyNumberFormat="0" applyFill="0" applyBorder="0" applyAlignment="0" applyProtection="0"/>
    <xf numFmtId="0" fontId="6" fillId="0" borderId="3"/>
    <xf numFmtId="164" fontId="6" fillId="0" borderId="3"/>
    <xf numFmtId="164" fontId="32" fillId="0" borderId="3"/>
    <xf numFmtId="0" fontId="5" fillId="0" borderId="3"/>
    <xf numFmtId="0" fontId="4" fillId="0" borderId="3"/>
    <xf numFmtId="0" fontId="2" fillId="0" borderId="3"/>
  </cellStyleXfs>
  <cellXfs count="91">
    <xf numFmtId="0" fontId="0" fillId="0" borderId="0" xfId="0"/>
    <xf numFmtId="0" fontId="16" fillId="0" borderId="1" xfId="0" applyFont="1" applyBorder="1" applyAlignment="1">
      <alignment horizontal="left"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2" fillId="0" borderId="1" xfId="0" applyFont="1" applyBorder="1" applyAlignment="1">
      <alignment horizontal="left" vertical="center" wrapText="1"/>
    </xf>
    <xf numFmtId="0" fontId="27" fillId="0" borderId="1" xfId="0" applyFont="1" applyBorder="1" applyAlignment="1">
      <alignment horizontal="left" vertical="center" wrapText="1"/>
    </xf>
    <xf numFmtId="0" fontId="27" fillId="0" borderId="1" xfId="0" applyFont="1" applyBorder="1" applyAlignment="1">
      <alignment horizontal="center" vertical="center"/>
    </xf>
    <xf numFmtId="0" fontId="25" fillId="0" borderId="1" xfId="0" applyFont="1" applyBorder="1" applyAlignment="1">
      <alignment horizontal="left" vertical="center" wrapText="1"/>
    </xf>
    <xf numFmtId="0" fontId="22" fillId="0" borderId="8" xfId="0" applyFont="1" applyBorder="1" applyAlignment="1">
      <alignment horizontal="left" vertical="center" wrapText="1"/>
    </xf>
    <xf numFmtId="0" fontId="0" fillId="0" borderId="3" xfId="0" applyBorder="1"/>
    <xf numFmtId="0" fontId="22" fillId="3" borderId="1" xfId="0" applyFont="1" applyFill="1" applyBorder="1" applyAlignment="1">
      <alignment horizontal="left" vertical="center" wrapText="1"/>
    </xf>
    <xf numFmtId="0" fontId="22" fillId="0" borderId="4" xfId="0" applyFont="1" applyBorder="1" applyAlignment="1">
      <alignment horizontal="left" vertical="center" wrapText="1"/>
    </xf>
    <xf numFmtId="0" fontId="22" fillId="0" borderId="6" xfId="0" applyFont="1" applyBorder="1" applyAlignment="1">
      <alignment horizontal="left" vertical="center" wrapText="1"/>
    </xf>
    <xf numFmtId="0" fontId="14" fillId="0" borderId="8" xfId="0" applyFont="1" applyBorder="1" applyAlignment="1">
      <alignment horizontal="center" vertical="center" wrapText="1"/>
    </xf>
    <xf numFmtId="0" fontId="22" fillId="0" borderId="10" xfId="0" applyFont="1" applyBorder="1" applyAlignment="1">
      <alignment horizontal="left" vertical="center" wrapText="1"/>
    </xf>
    <xf numFmtId="0" fontId="26" fillId="0" borderId="1" xfId="0" applyFont="1" applyBorder="1" applyAlignment="1">
      <alignment horizontal="center" vertical="center" wrapText="1"/>
    </xf>
    <xf numFmtId="49" fontId="19" fillId="0" borderId="1" xfId="0" applyNumberFormat="1" applyFont="1" applyBorder="1" applyAlignment="1">
      <alignment horizontal="center" vertical="top" wrapText="1"/>
    </xf>
    <xf numFmtId="0" fontId="24" fillId="0" borderId="1" xfId="0" applyFont="1" applyBorder="1" applyAlignment="1">
      <alignment horizontal="center" vertical="top" wrapText="1"/>
    </xf>
    <xf numFmtId="0" fontId="22" fillId="0" borderId="1" xfId="0" applyFont="1" applyBorder="1" applyAlignment="1">
      <alignment horizontal="left" vertical="top" wrapText="1"/>
    </xf>
    <xf numFmtId="0" fontId="38" fillId="0" borderId="9" xfId="0" applyFont="1" applyBorder="1" applyAlignment="1">
      <alignment horizontal="left" vertical="center" wrapText="1"/>
    </xf>
    <xf numFmtId="49" fontId="19" fillId="6" borderId="1" xfId="0" applyNumberFormat="1" applyFont="1" applyFill="1" applyBorder="1" applyAlignment="1">
      <alignment horizontal="center" vertical="top" wrapText="1"/>
    </xf>
    <xf numFmtId="0" fontId="26" fillId="6" borderId="1" xfId="0" applyFont="1" applyFill="1" applyBorder="1" applyAlignment="1">
      <alignment horizontal="center" vertical="center" wrapText="1"/>
    </xf>
    <xf numFmtId="49" fontId="26" fillId="6" borderId="1" xfId="0" applyNumberFormat="1" applyFont="1" applyFill="1" applyBorder="1" applyAlignment="1">
      <alignment horizontal="center" vertical="top" wrapText="1"/>
    </xf>
    <xf numFmtId="49" fontId="19" fillId="7" borderId="1" xfId="0" applyNumberFormat="1" applyFont="1" applyFill="1" applyBorder="1" applyAlignment="1">
      <alignment horizontal="center" vertical="top" wrapText="1"/>
    </xf>
    <xf numFmtId="0" fontId="29" fillId="0" borderId="3" xfId="30" applyFont="1"/>
    <xf numFmtId="16" fontId="29" fillId="0" borderId="3" xfId="30" applyNumberFormat="1" applyFont="1"/>
    <xf numFmtId="0" fontId="2" fillId="0" borderId="3" xfId="30"/>
    <xf numFmtId="16" fontId="2" fillId="0" borderId="3" xfId="30" applyNumberFormat="1" applyAlignment="1">
      <alignment horizontal="center"/>
    </xf>
    <xf numFmtId="0" fontId="2" fillId="0" borderId="3" xfId="30" applyAlignment="1">
      <alignment horizontal="center"/>
    </xf>
    <xf numFmtId="16" fontId="2" fillId="0" borderId="3" xfId="30" applyNumberFormat="1"/>
    <xf numFmtId="0" fontId="40" fillId="0" borderId="3" xfId="30" applyFont="1" applyAlignment="1">
      <alignment horizontal="center"/>
    </xf>
    <xf numFmtId="0" fontId="2" fillId="0" borderId="3" xfId="30" applyAlignment="1">
      <alignment wrapText="1"/>
    </xf>
    <xf numFmtId="0" fontId="41" fillId="0" borderId="3" xfId="30" applyFont="1"/>
    <xf numFmtId="0" fontId="29" fillId="8" borderId="3" xfId="30" applyFont="1" applyFill="1"/>
    <xf numFmtId="0" fontId="42" fillId="0" borderId="11" xfId="30" applyFont="1" applyBorder="1"/>
    <xf numFmtId="0" fontId="20" fillId="0" borderId="14" xfId="30" applyFont="1" applyBorder="1" applyAlignment="1">
      <alignment horizontal="center"/>
    </xf>
    <xf numFmtId="0" fontId="20" fillId="0" borderId="9" xfId="30" applyFont="1" applyBorder="1" applyAlignment="1">
      <alignment horizontal="center"/>
    </xf>
    <xf numFmtId="0" fontId="20" fillId="0" borderId="15" xfId="30" applyFont="1" applyBorder="1" applyAlignment="1">
      <alignment horizontal="center"/>
    </xf>
    <xf numFmtId="0" fontId="43" fillId="9" borderId="14" xfId="30" applyFont="1" applyFill="1" applyBorder="1" applyAlignment="1">
      <alignment horizontal="center" vertical="center" wrapText="1"/>
    </xf>
    <xf numFmtId="0" fontId="2" fillId="0" borderId="9" xfId="30" applyBorder="1"/>
    <xf numFmtId="0" fontId="2" fillId="0" borderId="15" xfId="30" applyBorder="1"/>
    <xf numFmtId="0" fontId="2" fillId="0" borderId="16" xfId="30" applyBorder="1"/>
    <xf numFmtId="0" fontId="43" fillId="9" borderId="17" xfId="30" applyFont="1" applyFill="1" applyBorder="1" applyAlignment="1">
      <alignment horizontal="center" vertical="center" wrapText="1"/>
    </xf>
    <xf numFmtId="0" fontId="2" fillId="0" borderId="18" xfId="30" applyBorder="1"/>
    <xf numFmtId="0" fontId="44" fillId="0" borderId="3" xfId="30" applyFont="1"/>
    <xf numFmtId="15" fontId="2" fillId="0" borderId="3" xfId="30" applyNumberFormat="1"/>
    <xf numFmtId="0" fontId="29" fillId="7" borderId="3" xfId="30" applyFont="1" applyFill="1"/>
    <xf numFmtId="0" fontId="2" fillId="7" borderId="3" xfId="30" applyFill="1" applyAlignment="1">
      <alignment horizontal="center"/>
    </xf>
    <xf numFmtId="0" fontId="46" fillId="0" borderId="1" xfId="0" applyFont="1" applyBorder="1" applyAlignment="1">
      <alignment horizontal="left" vertical="center" wrapText="1"/>
    </xf>
    <xf numFmtId="49" fontId="19" fillId="6" borderId="1" xfId="0" applyNumberFormat="1" applyFont="1" applyFill="1" applyBorder="1" applyAlignment="1">
      <alignment horizontal="center" vertical="center" wrapText="1"/>
    </xf>
    <xf numFmtId="16" fontId="0" fillId="0" borderId="0" xfId="0" applyNumberFormat="1"/>
    <xf numFmtId="0" fontId="40" fillId="0" borderId="0" xfId="0" applyFont="1" applyAlignment="1">
      <alignment horizontal="center"/>
    </xf>
    <xf numFmtId="0" fontId="29" fillId="0" borderId="0" xfId="0" applyFont="1"/>
    <xf numFmtId="0" fontId="2" fillId="0" borderId="9" xfId="0" applyFont="1" applyBorder="1" applyAlignment="1">
      <alignment horizontal="left" vertical="center" wrapText="1"/>
    </xf>
    <xf numFmtId="0" fontId="2" fillId="0" borderId="0" xfId="0" applyFont="1"/>
    <xf numFmtId="0" fontId="29" fillId="0" borderId="0" xfId="0" applyFont="1" applyAlignment="1">
      <alignment wrapText="1"/>
    </xf>
    <xf numFmtId="15" fontId="29" fillId="0" borderId="0" xfId="0" applyNumberFormat="1" applyFont="1"/>
    <xf numFmtId="0" fontId="29" fillId="0" borderId="3" xfId="30" applyFont="1" applyAlignment="1">
      <alignment wrapText="1"/>
    </xf>
    <xf numFmtId="0" fontId="47" fillId="0" borderId="0" xfId="0" applyFont="1"/>
    <xf numFmtId="0" fontId="24" fillId="10" borderId="1" xfId="0" applyFont="1" applyFill="1" applyBorder="1" applyAlignment="1">
      <alignment horizontal="center" vertical="top" wrapText="1"/>
    </xf>
    <xf numFmtId="0" fontId="27" fillId="10" borderId="1" xfId="0" applyFont="1" applyFill="1" applyBorder="1" applyAlignment="1">
      <alignment horizontal="center" vertical="top" wrapText="1"/>
    </xf>
    <xf numFmtId="0" fontId="27" fillId="10" borderId="1" xfId="0" applyFont="1" applyFill="1" applyBorder="1" applyAlignment="1">
      <alignment horizontal="center" vertical="center"/>
    </xf>
    <xf numFmtId="0" fontId="24" fillId="10" borderId="1" xfId="0" applyFont="1" applyFill="1" applyBorder="1" applyAlignment="1">
      <alignment horizontal="center" vertical="center" wrapText="1"/>
    </xf>
    <xf numFmtId="0" fontId="22" fillId="10" borderId="1" xfId="0" applyFont="1" applyFill="1" applyBorder="1" applyAlignment="1">
      <alignment horizontal="center" vertical="center"/>
    </xf>
    <xf numFmtId="0" fontId="22" fillId="10" borderId="1" xfId="0" applyFont="1" applyFill="1" applyBorder="1" applyAlignment="1">
      <alignment horizontal="center" vertical="center" wrapText="1"/>
    </xf>
    <xf numFmtId="0" fontId="26" fillId="10" borderId="1" xfId="0" applyFont="1" applyFill="1" applyBorder="1" applyAlignment="1">
      <alignment horizontal="center" vertical="center"/>
    </xf>
    <xf numFmtId="0" fontId="26" fillId="10" borderId="1" xfId="0" applyFont="1" applyFill="1" applyBorder="1" applyAlignment="1">
      <alignment horizontal="center" vertical="center" wrapText="1"/>
    </xf>
    <xf numFmtId="49" fontId="19" fillId="10" borderId="1" xfId="0" applyNumberFormat="1" applyFont="1" applyFill="1" applyBorder="1" applyAlignment="1">
      <alignment horizontal="center" vertical="center" wrapText="1"/>
    </xf>
    <xf numFmtId="0" fontId="0" fillId="10" borderId="1" xfId="0" applyFill="1" applyBorder="1" applyAlignment="1">
      <alignment horizontal="center" vertical="center"/>
    </xf>
    <xf numFmtId="0" fontId="24" fillId="10" borderId="1" xfId="0" applyFont="1" applyFill="1" applyBorder="1" applyAlignment="1">
      <alignment horizontal="center" vertical="center"/>
    </xf>
    <xf numFmtId="0" fontId="24" fillId="10" borderId="1" xfId="0" applyFont="1" applyFill="1" applyBorder="1" applyAlignment="1">
      <alignment horizontal="center" vertical="top"/>
    </xf>
    <xf numFmtId="0" fontId="23" fillId="10" borderId="1" xfId="0" applyFont="1" applyFill="1" applyBorder="1" applyAlignment="1">
      <alignment horizontal="center" vertical="center" wrapText="1"/>
    </xf>
    <xf numFmtId="49" fontId="19" fillId="10" borderId="1" xfId="0" applyNumberFormat="1" applyFont="1" applyFill="1" applyBorder="1" applyAlignment="1">
      <alignment horizontal="center" vertical="top" wrapText="1"/>
    </xf>
    <xf numFmtId="49" fontId="26" fillId="10" borderId="1" xfId="0" applyNumberFormat="1" applyFont="1" applyFill="1" applyBorder="1" applyAlignment="1">
      <alignment horizontal="center" vertical="center" wrapText="1"/>
    </xf>
    <xf numFmtId="0" fontId="27" fillId="10" borderId="1" xfId="0" applyFont="1" applyFill="1" applyBorder="1" applyAlignment="1">
      <alignment horizontal="center" vertical="center" wrapText="1"/>
    </xf>
    <xf numFmtId="0" fontId="17" fillId="10" borderId="1" xfId="0" applyFont="1" applyFill="1" applyBorder="1" applyAlignment="1">
      <alignment horizontal="center" vertical="center"/>
    </xf>
    <xf numFmtId="49" fontId="17" fillId="10" borderId="1" xfId="0" applyNumberFormat="1" applyFont="1" applyFill="1" applyBorder="1" applyAlignment="1">
      <alignment horizontal="center" vertical="center"/>
    </xf>
    <xf numFmtId="0" fontId="0" fillId="0" borderId="9" xfId="0" applyBorder="1" applyAlignment="1">
      <alignment horizontal="left" vertical="center"/>
    </xf>
    <xf numFmtId="0" fontId="21" fillId="5" borderId="4" xfId="0" applyFont="1" applyFill="1" applyBorder="1" applyAlignment="1">
      <alignment horizontal="left" vertical="center" wrapText="1"/>
    </xf>
    <xf numFmtId="0" fontId="3" fillId="4" borderId="5" xfId="0" applyFont="1" applyFill="1" applyBorder="1" applyAlignment="1">
      <alignment horizontal="left" vertical="center"/>
    </xf>
    <xf numFmtId="0" fontId="3" fillId="4" borderId="2" xfId="0" applyFont="1" applyFill="1" applyBorder="1" applyAlignment="1">
      <alignment horizontal="left" vertical="center"/>
    </xf>
    <xf numFmtId="0" fontId="23" fillId="2"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2" xfId="0" applyFont="1" applyBorder="1" applyAlignment="1">
      <alignment horizontal="left" vertical="center"/>
    </xf>
    <xf numFmtId="0" fontId="14" fillId="0" borderId="8" xfId="0" applyFont="1" applyBorder="1" applyAlignment="1">
      <alignment horizontal="left" vertical="center" wrapText="1"/>
    </xf>
    <xf numFmtId="0" fontId="3" fillId="0" borderId="7" xfId="0" applyFont="1" applyBorder="1" applyAlignment="1">
      <alignment horizontal="left" vertical="center"/>
    </xf>
    <xf numFmtId="0" fontId="14" fillId="0" borderId="4" xfId="0" applyFont="1" applyBorder="1" applyAlignment="1">
      <alignment horizontal="center" vertical="center" wrapText="1"/>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42" fillId="0" borderId="12" xfId="30" applyFont="1" applyBorder="1" applyAlignment="1">
      <alignment horizontal="center"/>
    </xf>
    <xf numFmtId="0" fontId="42" fillId="0" borderId="13" xfId="30" applyFont="1" applyBorder="1" applyAlignment="1">
      <alignment horizontal="center"/>
    </xf>
  </cellXfs>
  <cellStyles count="31">
    <cellStyle name="Hyperlink 2" xfId="3" xr:uid="{00000000-0005-0000-0000-000000000000}"/>
    <cellStyle name="Hyperlink 2 2" xfId="17" xr:uid="{00000000-0005-0000-0000-000001000000}"/>
    <cellStyle name="Hyperlink 2 2 3" xfId="5" xr:uid="{00000000-0005-0000-0000-000002000000}"/>
    <cellStyle name="Hyperlink 3" xfId="11" xr:uid="{00000000-0005-0000-0000-000003000000}"/>
    <cellStyle name="Hyperlink 4" xfId="24" xr:uid="{00000000-0005-0000-0000-000004000000}"/>
    <cellStyle name="Normal" xfId="0" builtinId="0"/>
    <cellStyle name="Normal 10" xfId="25" xr:uid="{00000000-0005-0000-0000-000006000000}"/>
    <cellStyle name="Normal 10 10" xfId="6" xr:uid="{00000000-0005-0000-0000-000007000000}"/>
    <cellStyle name="Normal 10 2" xfId="14" xr:uid="{00000000-0005-0000-0000-000008000000}"/>
    <cellStyle name="Normal 10 2 2 2" xfId="15" xr:uid="{00000000-0005-0000-0000-000009000000}"/>
    <cellStyle name="Normal 10 3 14" xfId="26" xr:uid="{00000000-0005-0000-0000-00000A000000}"/>
    <cellStyle name="Normal 10 3_Reassesment Record gm jan 25 2" xfId="16" xr:uid="{00000000-0005-0000-0000-00000B000000}"/>
    <cellStyle name="Normal 11" xfId="28" xr:uid="{00000000-0005-0000-0000-00000C000000}"/>
    <cellStyle name="Normal 12" xfId="29" xr:uid="{00000000-0005-0000-0000-00000D000000}"/>
    <cellStyle name="Normal 13" xfId="30" xr:uid="{61495E88-328B-4C9B-8D8B-904FC6E6EF57}"/>
    <cellStyle name="Normal 2" xfId="1" xr:uid="{00000000-0005-0000-0000-00000E000000}"/>
    <cellStyle name="Normal 2 11 3 2" xfId="12" xr:uid="{00000000-0005-0000-0000-00000F000000}"/>
    <cellStyle name="Normal 2 2" xfId="19" xr:uid="{00000000-0005-0000-0000-000010000000}"/>
    <cellStyle name="Normal 2 4 4" xfId="27" xr:uid="{00000000-0005-0000-0000-000011000000}"/>
    <cellStyle name="Normal 2 42" xfId="7" xr:uid="{00000000-0005-0000-0000-000012000000}"/>
    <cellStyle name="Normal 3" xfId="8" xr:uid="{00000000-0005-0000-0000-000013000000}"/>
    <cellStyle name="Normal 3 10 2" xfId="10" xr:uid="{00000000-0005-0000-0000-000014000000}"/>
    <cellStyle name="Normal 37 3" xfId="13" xr:uid="{00000000-0005-0000-0000-000015000000}"/>
    <cellStyle name="Normal 4" xfId="4" xr:uid="{00000000-0005-0000-0000-000016000000}"/>
    <cellStyle name="Normal 5" xfId="9" xr:uid="{00000000-0005-0000-0000-000017000000}"/>
    <cellStyle name="Normal 6" xfId="18" xr:uid="{00000000-0005-0000-0000-000018000000}"/>
    <cellStyle name="Normal 7" xfId="21" xr:uid="{00000000-0005-0000-0000-000019000000}"/>
    <cellStyle name="Normal 8" xfId="22" xr:uid="{00000000-0005-0000-0000-00001A000000}"/>
    <cellStyle name="Normal 9" xfId="23" xr:uid="{00000000-0005-0000-0000-00001B000000}"/>
    <cellStyle name="Percent 2" xfId="2" xr:uid="{00000000-0005-0000-0000-00001C000000}"/>
    <cellStyle name="Percent 3" xfId="20" xr:uid="{00000000-0005-0000-0000-00001D000000}"/>
  </cellStyles>
  <dxfs count="27">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s>
  <tableStyles count="8" defaultTableStyle="TableStyleMedium2" defaultPivotStyle="PivotStyleLight16">
    <tableStyle name="RC-18-style" pivot="0" count="3" xr9:uid="{00000000-0011-0000-FFFF-FFFF00000000}">
      <tableStyleElement type="headerRow" dxfId="26"/>
      <tableStyleElement type="firstRowStripe" dxfId="25"/>
      <tableStyleElement type="secondRowStripe" dxfId="24"/>
    </tableStyle>
    <tableStyle name="RC-18 Stefan Training RC-style" pivot="0" count="3" xr9:uid="{00000000-0011-0000-FFFF-FFFF01000000}">
      <tableStyleElement type="headerRow" dxfId="23"/>
      <tableStyleElement type="firstRowStripe" dxfId="22"/>
      <tableStyleElement type="secondRowStripe" dxfId="21"/>
    </tableStyle>
    <tableStyle name="RC-18 KyleTraining RC-style" pivot="0" count="3" xr9:uid="{00000000-0011-0000-FFFF-FFFF02000000}">
      <tableStyleElement type="headerRow" dxfId="20"/>
      <tableStyleElement type="firstRowStripe" dxfId="19"/>
      <tableStyleElement type="secondRowStripe" dxfId="18"/>
    </tableStyle>
    <tableStyle name=" RC-18 Jenn Training RC-style" pivot="0" count="3" xr9:uid="{00000000-0011-0000-FFFF-FFFF03000000}">
      <tableStyleElement type="headerRow" dxfId="17"/>
      <tableStyleElement type="firstRowStripe" dxfId="16"/>
      <tableStyleElement type="secondRowStripe" dxfId="15"/>
    </tableStyle>
    <tableStyle name=" RC-18 AshleyTraining RC-style" pivot="0" count="3" xr9:uid="{00000000-0011-0000-FFFF-FFFF04000000}">
      <tableStyleElement type="headerRow" dxfId="14"/>
      <tableStyleElement type="firstRowStripe" dxfId="13"/>
      <tableStyleElement type="secondRowStripe" dxfId="12"/>
    </tableStyle>
    <tableStyle name=" RC-18 Siva Training RC-style" pivot="0" count="3" xr9:uid="{00000000-0011-0000-FFFF-FFFF05000000}">
      <tableStyleElement type="headerRow" dxfId="11"/>
      <tableStyleElement type="firstRowStripe" dxfId="10"/>
      <tableStyleElement type="secondRowStripe" dxfId="9"/>
    </tableStyle>
    <tableStyle name=" RC-18 Troy Training RC-style" pivot="0" count="3" xr9:uid="{00000000-0011-0000-FFFF-FFFF06000000}">
      <tableStyleElement type="headerRow" dxfId="8"/>
      <tableStyleElement type="firstRowStripe" dxfId="7"/>
      <tableStyleElement type="secondRowStripe" dxfId="6"/>
    </tableStyle>
    <tableStyle name="RC-25-style" pivot="0" count="3" xr9:uid="{00000000-0011-0000-FFFF-FFFF07000000}">
      <tableStyleElement type="headerRow" dxfId="5"/>
      <tableStyleElement type="firstRowStripe" dxfId="4"/>
      <tableStyleElement type="secondRowStripe" dxfId="3"/>
    </tableStyle>
  </tableStyles>
  <colors>
    <mruColors>
      <color rgb="FFFFCC66"/>
      <color rgb="FF089949"/>
      <color rgb="FFFFFFFF"/>
      <color rgb="FF00CC99"/>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Line</a:t>
            </a:r>
            <a:r>
              <a:rPr lang="en-CA" baseline="0"/>
              <a:t> and Zone Vs Result</a:t>
            </a:r>
            <a:endParaRPr lang="en-CA"/>
          </a:p>
        </c:rich>
      </c:tx>
      <c:layout>
        <c:manualLayout>
          <c:xMode val="edge"/>
          <c:yMode val="edge"/>
          <c:x val="0.39282633420822405"/>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lineChart>
        <c:grouping val="standard"/>
        <c:varyColors val="0"/>
        <c:ser>
          <c:idx val="0"/>
          <c:order val="0"/>
          <c:tx>
            <c:strRef>
              <c:f>'by zone'!$D$2</c:f>
              <c:strCache>
                <c:ptCount val="1"/>
                <c:pt idx="0">
                  <c:v>Zone</c:v>
                </c:pt>
              </c:strCache>
            </c:strRef>
          </c:tx>
          <c:spPr>
            <a:ln w="28575" cap="rnd">
              <a:solidFill>
                <a:schemeClr val="accent1"/>
              </a:solidFill>
              <a:round/>
            </a:ln>
            <a:effectLst/>
          </c:spPr>
          <c:marker>
            <c:symbol val="none"/>
          </c:marker>
          <c:cat>
            <c:strRef>
              <c:f>'by zone'!$B$3:$B$102</c:f>
              <c:strCache>
                <c:ptCount val="99"/>
                <c:pt idx="0">
                  <c:v>January -Repack Line 1</c:v>
                </c:pt>
                <c:pt idx="1">
                  <c:v>January -Repack Line 1</c:v>
                </c:pt>
                <c:pt idx="2">
                  <c:v>January -V2 line 4</c:v>
                </c:pt>
                <c:pt idx="3">
                  <c:v>January - V2 line 4</c:v>
                </c:pt>
                <c:pt idx="4">
                  <c:v>January - V1 Line 7</c:v>
                </c:pt>
                <c:pt idx="5">
                  <c:v>January - V1 Line 7</c:v>
                </c:pt>
                <c:pt idx="6">
                  <c:v>February - repack line 1</c:v>
                </c:pt>
                <c:pt idx="7">
                  <c:v>February - repack line 1</c:v>
                </c:pt>
                <c:pt idx="8">
                  <c:v>February - autobagger Line 6</c:v>
                </c:pt>
                <c:pt idx="9">
                  <c:v>February - autobagger Line 6</c:v>
                </c:pt>
                <c:pt idx="10">
                  <c:v>February - V1 Line 7</c:v>
                </c:pt>
                <c:pt idx="11">
                  <c:v>February - V1 Line 7</c:v>
                </c:pt>
                <c:pt idx="12">
                  <c:v>February - V2 Line 4</c:v>
                </c:pt>
                <c:pt idx="13">
                  <c:v>February - V2 Line 4</c:v>
                </c:pt>
                <c:pt idx="14">
                  <c:v>February - Sausage</c:v>
                </c:pt>
                <c:pt idx="15">
                  <c:v>February-Sausage</c:v>
                </c:pt>
                <c:pt idx="16">
                  <c:v>March - Repack Line 1</c:v>
                </c:pt>
                <c:pt idx="17">
                  <c:v>March - Repack Line 1</c:v>
                </c:pt>
                <c:pt idx="18">
                  <c:v>March - V1 Line 7</c:v>
                </c:pt>
                <c:pt idx="19">
                  <c:v>March - V1 Line 7</c:v>
                </c:pt>
                <c:pt idx="20">
                  <c:v>March - V2 Line 4</c:v>
                </c:pt>
                <c:pt idx="21">
                  <c:v>March - V2 Line 4</c:v>
                </c:pt>
                <c:pt idx="22">
                  <c:v>April-Autobagger</c:v>
                </c:pt>
                <c:pt idx="23">
                  <c:v>April-Autobagger</c:v>
                </c:pt>
                <c:pt idx="24">
                  <c:v>April-V1 Line 7</c:v>
                </c:pt>
                <c:pt idx="25">
                  <c:v>April-V1 Line 7</c:v>
                </c:pt>
                <c:pt idx="26">
                  <c:v>April-Repack Line 1</c:v>
                </c:pt>
                <c:pt idx="27">
                  <c:v>April-Repack Line 1</c:v>
                </c:pt>
                <c:pt idx="28">
                  <c:v>April - V2</c:v>
                </c:pt>
                <c:pt idx="29">
                  <c:v>April - V2</c:v>
                </c:pt>
                <c:pt idx="30">
                  <c:v>May V1 Line 7</c:v>
                </c:pt>
                <c:pt idx="31">
                  <c:v>May V1 Line 7</c:v>
                </c:pt>
                <c:pt idx="32">
                  <c:v>May - Autobagger Line6</c:v>
                </c:pt>
                <c:pt idx="33">
                  <c:v>May - Autobagger Line6</c:v>
                </c:pt>
                <c:pt idx="34">
                  <c:v>May- V2 Line 4</c:v>
                </c:pt>
                <c:pt idx="35">
                  <c:v>May- V2 Line 4</c:v>
                </c:pt>
                <c:pt idx="36">
                  <c:v>May-Repack Line 1</c:v>
                </c:pt>
                <c:pt idx="37">
                  <c:v>May-Repack Line 1</c:v>
                </c:pt>
                <c:pt idx="38">
                  <c:v>may - sausage</c:v>
                </c:pt>
                <c:pt idx="39">
                  <c:v>may - sausage</c:v>
                </c:pt>
                <c:pt idx="40">
                  <c:v>may - maintenance tool</c:v>
                </c:pt>
                <c:pt idx="41">
                  <c:v>may - jerky sink frame</c:v>
                </c:pt>
                <c:pt idx="42">
                  <c:v>may-maintenance packaging tool box</c:v>
                </c:pt>
                <c:pt idx="43">
                  <c:v>may-grey trolley frame</c:v>
                </c:pt>
                <c:pt idx="44">
                  <c:v>may-trolley broom frame</c:v>
                </c:pt>
                <c:pt idx="45">
                  <c:v>may-popper cutter frame</c:v>
                </c:pt>
                <c:pt idx="46">
                  <c:v>may-table frame</c:v>
                </c:pt>
                <c:pt idx="47">
                  <c:v>may- pump truck handle</c:v>
                </c:pt>
                <c:pt idx="48">
                  <c:v>may-truck wheel</c:v>
                </c:pt>
                <c:pt idx="49">
                  <c:v>may-outter garbage</c:v>
                </c:pt>
                <c:pt idx="50">
                  <c:v>may-green ladder</c:v>
                </c:pt>
                <c:pt idx="51">
                  <c:v>may-smokehouse panel</c:v>
                </c:pt>
                <c:pt idx="52">
                  <c:v>may-jerky cutter wheel</c:v>
                </c:pt>
                <c:pt idx="53">
                  <c:v>may-back wall sanitation</c:v>
                </c:pt>
                <c:pt idx="54">
                  <c:v>may-sanitation room back ppe wall</c:v>
                </c:pt>
                <c:pt idx="55">
                  <c:v>may-broom</c:v>
                </c:pt>
                <c:pt idx="56">
                  <c:v>may - lunchroom door frame</c:v>
                </c:pt>
                <c:pt idx="57">
                  <c:v>maintenance tool - Day 1</c:v>
                </c:pt>
                <c:pt idx="58">
                  <c:v>wheels jerky cutter - day 1</c:v>
                </c:pt>
                <c:pt idx="59">
                  <c:v>squeegee - day 1 </c:v>
                </c:pt>
                <c:pt idx="60">
                  <c:v>drain inside jerky room - vector site</c:v>
                </c:pt>
                <c:pt idx="61">
                  <c:v>drain outside jerky room - vector site</c:v>
                </c:pt>
                <c:pt idx="62">
                  <c:v>stainless bin wheel - vector site</c:v>
                </c:pt>
                <c:pt idx="63">
                  <c:v>maintenance tool - Day 2</c:v>
                </c:pt>
                <c:pt idx="64">
                  <c:v>wheels jerky cutter - day 2</c:v>
                </c:pt>
                <c:pt idx="65">
                  <c:v>squeegee - day 2</c:v>
                </c:pt>
                <c:pt idx="66">
                  <c:v>maintenance tool - Day 3</c:v>
                </c:pt>
                <c:pt idx="67">
                  <c:v>wheels jerky cutter - day 3</c:v>
                </c:pt>
                <c:pt idx="68">
                  <c:v>squeegee - day 3</c:v>
                </c:pt>
                <c:pt idx="69">
                  <c:v>June V1 Line 7</c:v>
                </c:pt>
                <c:pt idx="70">
                  <c:v>June V1 Line 7</c:v>
                </c:pt>
                <c:pt idx="71">
                  <c:v>June V2 Line 4</c:v>
                </c:pt>
                <c:pt idx="72">
                  <c:v>June V2 Line 4</c:v>
                </c:pt>
                <c:pt idx="73">
                  <c:v>June Sausage</c:v>
                </c:pt>
                <c:pt idx="74">
                  <c:v>June Sausage</c:v>
                </c:pt>
                <c:pt idx="75">
                  <c:v>June Autobagger L6</c:v>
                </c:pt>
                <c:pt idx="76">
                  <c:v>June Autobagger L6</c:v>
                </c:pt>
                <c:pt idx="77">
                  <c:v>June Repack - Line 1 </c:v>
                </c:pt>
                <c:pt idx="78">
                  <c:v>June Repack - Line 1 </c:v>
                </c:pt>
                <c:pt idx="79">
                  <c:v>July V1 Line 7</c:v>
                </c:pt>
                <c:pt idx="80">
                  <c:v>July V1 Line 7</c:v>
                </c:pt>
                <c:pt idx="81">
                  <c:v>July Repack - Line 1 </c:v>
                </c:pt>
                <c:pt idx="82">
                  <c:v>June Repack - Line 1 </c:v>
                </c:pt>
                <c:pt idx="83">
                  <c:v>July Autobagger L6</c:v>
                </c:pt>
                <c:pt idx="84">
                  <c:v>July Autobagger L6</c:v>
                </c:pt>
                <c:pt idx="85">
                  <c:v>July/Aug Sausage</c:v>
                </c:pt>
                <c:pt idx="86">
                  <c:v>July/Aug Sausage</c:v>
                </c:pt>
                <c:pt idx="87">
                  <c:v>July/Aug V2 Line 4</c:v>
                </c:pt>
                <c:pt idx="88">
                  <c:v>July/Aug V2 Line 4</c:v>
                </c:pt>
                <c:pt idx="89">
                  <c:v>Aug Repack - Line 1 </c:v>
                </c:pt>
                <c:pt idx="90">
                  <c:v>Aug Repack - Line 1 </c:v>
                </c:pt>
                <c:pt idx="91">
                  <c:v>August - Sausage</c:v>
                </c:pt>
                <c:pt idx="92">
                  <c:v>August - Sausage</c:v>
                </c:pt>
                <c:pt idx="93">
                  <c:v>August Autobagger L6</c:v>
                </c:pt>
                <c:pt idx="94">
                  <c:v>August Autobagger L6</c:v>
                </c:pt>
                <c:pt idx="95">
                  <c:v>August V1 Line 7</c:v>
                </c:pt>
                <c:pt idx="96">
                  <c:v>August V1 Line 7</c:v>
                </c:pt>
                <c:pt idx="97">
                  <c:v>Aug V2 Line 4</c:v>
                </c:pt>
                <c:pt idx="98">
                  <c:v>Aug V2 Line 4</c:v>
                </c:pt>
              </c:strCache>
            </c:strRef>
          </c:cat>
          <c:val>
            <c:numRef>
              <c:f>'by zone'!$D$3:$D$102</c:f>
              <c:numCache>
                <c:formatCode>General</c:formatCode>
                <c:ptCount val="1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2</c:v>
                </c:pt>
                <c:pt idx="41">
                  <c:v>2</c:v>
                </c:pt>
                <c:pt idx="42">
                  <c:v>2</c:v>
                </c:pt>
                <c:pt idx="43">
                  <c:v>2</c:v>
                </c:pt>
                <c:pt idx="44">
                  <c:v>2</c:v>
                </c:pt>
                <c:pt idx="45">
                  <c:v>2</c:v>
                </c:pt>
                <c:pt idx="46">
                  <c:v>2</c:v>
                </c:pt>
                <c:pt idx="47">
                  <c:v>3</c:v>
                </c:pt>
                <c:pt idx="48">
                  <c:v>3</c:v>
                </c:pt>
                <c:pt idx="49">
                  <c:v>3</c:v>
                </c:pt>
                <c:pt idx="50">
                  <c:v>3</c:v>
                </c:pt>
                <c:pt idx="51">
                  <c:v>3</c:v>
                </c:pt>
                <c:pt idx="52">
                  <c:v>3</c:v>
                </c:pt>
                <c:pt idx="53">
                  <c:v>3</c:v>
                </c:pt>
                <c:pt idx="54">
                  <c:v>3</c:v>
                </c:pt>
                <c:pt idx="55">
                  <c:v>3</c:v>
                </c:pt>
                <c:pt idx="56">
                  <c:v>4</c:v>
                </c:pt>
                <c:pt idx="57">
                  <c:v>2</c:v>
                </c:pt>
                <c:pt idx="58">
                  <c:v>3</c:v>
                </c:pt>
                <c:pt idx="59">
                  <c:v>3</c:v>
                </c:pt>
                <c:pt idx="60">
                  <c:v>3</c:v>
                </c:pt>
                <c:pt idx="61">
                  <c:v>3</c:v>
                </c:pt>
                <c:pt idx="62">
                  <c:v>3</c:v>
                </c:pt>
                <c:pt idx="63">
                  <c:v>2</c:v>
                </c:pt>
                <c:pt idx="64">
                  <c:v>3</c:v>
                </c:pt>
                <c:pt idx="65">
                  <c:v>3</c:v>
                </c:pt>
                <c:pt idx="66">
                  <c:v>2</c:v>
                </c:pt>
                <c:pt idx="67">
                  <c:v>3</c:v>
                </c:pt>
                <c:pt idx="68">
                  <c:v>3</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numCache>
            </c:numRef>
          </c:val>
          <c:smooth val="0"/>
          <c:extLst>
            <c:ext xmlns:c16="http://schemas.microsoft.com/office/drawing/2014/chart" uri="{C3380CC4-5D6E-409C-BE32-E72D297353CC}">
              <c16:uniqueId val="{00000000-E289-49BB-8AC7-01B6320AA81B}"/>
            </c:ext>
          </c:extLst>
        </c:ser>
        <c:ser>
          <c:idx val="1"/>
          <c:order val="1"/>
          <c:tx>
            <c:strRef>
              <c:f>'by zone'!$E$2</c:f>
              <c:strCache>
                <c:ptCount val="1"/>
                <c:pt idx="0">
                  <c:v>swab</c:v>
                </c:pt>
              </c:strCache>
            </c:strRef>
          </c:tx>
          <c:spPr>
            <a:ln w="28575" cap="rnd">
              <a:solidFill>
                <a:schemeClr val="accent2"/>
              </a:solidFill>
              <a:round/>
            </a:ln>
            <a:effectLst/>
          </c:spPr>
          <c:marker>
            <c:symbol val="none"/>
          </c:marker>
          <c:cat>
            <c:strRef>
              <c:f>'by zone'!$B$3:$B$102</c:f>
              <c:strCache>
                <c:ptCount val="99"/>
                <c:pt idx="0">
                  <c:v>January -Repack Line 1</c:v>
                </c:pt>
                <c:pt idx="1">
                  <c:v>January -Repack Line 1</c:v>
                </c:pt>
                <c:pt idx="2">
                  <c:v>January -V2 line 4</c:v>
                </c:pt>
                <c:pt idx="3">
                  <c:v>January - V2 line 4</c:v>
                </c:pt>
                <c:pt idx="4">
                  <c:v>January - V1 Line 7</c:v>
                </c:pt>
                <c:pt idx="5">
                  <c:v>January - V1 Line 7</c:v>
                </c:pt>
                <c:pt idx="6">
                  <c:v>February - repack line 1</c:v>
                </c:pt>
                <c:pt idx="7">
                  <c:v>February - repack line 1</c:v>
                </c:pt>
                <c:pt idx="8">
                  <c:v>February - autobagger Line 6</c:v>
                </c:pt>
                <c:pt idx="9">
                  <c:v>February - autobagger Line 6</c:v>
                </c:pt>
                <c:pt idx="10">
                  <c:v>February - V1 Line 7</c:v>
                </c:pt>
                <c:pt idx="11">
                  <c:v>February - V1 Line 7</c:v>
                </c:pt>
                <c:pt idx="12">
                  <c:v>February - V2 Line 4</c:v>
                </c:pt>
                <c:pt idx="13">
                  <c:v>February - V2 Line 4</c:v>
                </c:pt>
                <c:pt idx="14">
                  <c:v>February - Sausage</c:v>
                </c:pt>
                <c:pt idx="15">
                  <c:v>February-Sausage</c:v>
                </c:pt>
                <c:pt idx="16">
                  <c:v>March - Repack Line 1</c:v>
                </c:pt>
                <c:pt idx="17">
                  <c:v>March - Repack Line 1</c:v>
                </c:pt>
                <c:pt idx="18">
                  <c:v>March - V1 Line 7</c:v>
                </c:pt>
                <c:pt idx="19">
                  <c:v>March - V1 Line 7</c:v>
                </c:pt>
                <c:pt idx="20">
                  <c:v>March - V2 Line 4</c:v>
                </c:pt>
                <c:pt idx="21">
                  <c:v>March - V2 Line 4</c:v>
                </c:pt>
                <c:pt idx="22">
                  <c:v>April-Autobagger</c:v>
                </c:pt>
                <c:pt idx="23">
                  <c:v>April-Autobagger</c:v>
                </c:pt>
                <c:pt idx="24">
                  <c:v>April-V1 Line 7</c:v>
                </c:pt>
                <c:pt idx="25">
                  <c:v>April-V1 Line 7</c:v>
                </c:pt>
                <c:pt idx="26">
                  <c:v>April-Repack Line 1</c:v>
                </c:pt>
                <c:pt idx="27">
                  <c:v>April-Repack Line 1</c:v>
                </c:pt>
                <c:pt idx="28">
                  <c:v>April - V2</c:v>
                </c:pt>
                <c:pt idx="29">
                  <c:v>April - V2</c:v>
                </c:pt>
                <c:pt idx="30">
                  <c:v>May V1 Line 7</c:v>
                </c:pt>
                <c:pt idx="31">
                  <c:v>May V1 Line 7</c:v>
                </c:pt>
                <c:pt idx="32">
                  <c:v>May - Autobagger Line6</c:v>
                </c:pt>
                <c:pt idx="33">
                  <c:v>May - Autobagger Line6</c:v>
                </c:pt>
                <c:pt idx="34">
                  <c:v>May- V2 Line 4</c:v>
                </c:pt>
                <c:pt idx="35">
                  <c:v>May- V2 Line 4</c:v>
                </c:pt>
                <c:pt idx="36">
                  <c:v>May-Repack Line 1</c:v>
                </c:pt>
                <c:pt idx="37">
                  <c:v>May-Repack Line 1</c:v>
                </c:pt>
                <c:pt idx="38">
                  <c:v>may - sausage</c:v>
                </c:pt>
                <c:pt idx="39">
                  <c:v>may - sausage</c:v>
                </c:pt>
                <c:pt idx="40">
                  <c:v>may - maintenance tool</c:v>
                </c:pt>
                <c:pt idx="41">
                  <c:v>may - jerky sink frame</c:v>
                </c:pt>
                <c:pt idx="42">
                  <c:v>may-maintenance packaging tool box</c:v>
                </c:pt>
                <c:pt idx="43">
                  <c:v>may-grey trolley frame</c:v>
                </c:pt>
                <c:pt idx="44">
                  <c:v>may-trolley broom frame</c:v>
                </c:pt>
                <c:pt idx="45">
                  <c:v>may-popper cutter frame</c:v>
                </c:pt>
                <c:pt idx="46">
                  <c:v>may-table frame</c:v>
                </c:pt>
                <c:pt idx="47">
                  <c:v>may- pump truck handle</c:v>
                </c:pt>
                <c:pt idx="48">
                  <c:v>may-truck wheel</c:v>
                </c:pt>
                <c:pt idx="49">
                  <c:v>may-outter garbage</c:v>
                </c:pt>
                <c:pt idx="50">
                  <c:v>may-green ladder</c:v>
                </c:pt>
                <c:pt idx="51">
                  <c:v>may-smokehouse panel</c:v>
                </c:pt>
                <c:pt idx="52">
                  <c:v>may-jerky cutter wheel</c:v>
                </c:pt>
                <c:pt idx="53">
                  <c:v>may-back wall sanitation</c:v>
                </c:pt>
                <c:pt idx="54">
                  <c:v>may-sanitation room back ppe wall</c:v>
                </c:pt>
                <c:pt idx="55">
                  <c:v>may-broom</c:v>
                </c:pt>
                <c:pt idx="56">
                  <c:v>may - lunchroom door frame</c:v>
                </c:pt>
                <c:pt idx="57">
                  <c:v>maintenance tool - Day 1</c:v>
                </c:pt>
                <c:pt idx="58">
                  <c:v>wheels jerky cutter - day 1</c:v>
                </c:pt>
                <c:pt idx="59">
                  <c:v>squeegee - day 1 </c:v>
                </c:pt>
                <c:pt idx="60">
                  <c:v>drain inside jerky room - vector site</c:v>
                </c:pt>
                <c:pt idx="61">
                  <c:v>drain outside jerky room - vector site</c:v>
                </c:pt>
                <c:pt idx="62">
                  <c:v>stainless bin wheel - vector site</c:v>
                </c:pt>
                <c:pt idx="63">
                  <c:v>maintenance tool - Day 2</c:v>
                </c:pt>
                <c:pt idx="64">
                  <c:v>wheels jerky cutter - day 2</c:v>
                </c:pt>
                <c:pt idx="65">
                  <c:v>squeegee - day 2</c:v>
                </c:pt>
                <c:pt idx="66">
                  <c:v>maintenance tool - Day 3</c:v>
                </c:pt>
                <c:pt idx="67">
                  <c:v>wheels jerky cutter - day 3</c:v>
                </c:pt>
                <c:pt idx="68">
                  <c:v>squeegee - day 3</c:v>
                </c:pt>
                <c:pt idx="69">
                  <c:v>June V1 Line 7</c:v>
                </c:pt>
                <c:pt idx="70">
                  <c:v>June V1 Line 7</c:v>
                </c:pt>
                <c:pt idx="71">
                  <c:v>June V2 Line 4</c:v>
                </c:pt>
                <c:pt idx="72">
                  <c:v>June V2 Line 4</c:v>
                </c:pt>
                <c:pt idx="73">
                  <c:v>June Sausage</c:v>
                </c:pt>
                <c:pt idx="74">
                  <c:v>June Sausage</c:v>
                </c:pt>
                <c:pt idx="75">
                  <c:v>June Autobagger L6</c:v>
                </c:pt>
                <c:pt idx="76">
                  <c:v>June Autobagger L6</c:v>
                </c:pt>
                <c:pt idx="77">
                  <c:v>June Repack - Line 1 </c:v>
                </c:pt>
                <c:pt idx="78">
                  <c:v>June Repack - Line 1 </c:v>
                </c:pt>
                <c:pt idx="79">
                  <c:v>July V1 Line 7</c:v>
                </c:pt>
                <c:pt idx="80">
                  <c:v>July V1 Line 7</c:v>
                </c:pt>
                <c:pt idx="81">
                  <c:v>July Repack - Line 1 </c:v>
                </c:pt>
                <c:pt idx="82">
                  <c:v>June Repack - Line 1 </c:v>
                </c:pt>
                <c:pt idx="83">
                  <c:v>July Autobagger L6</c:v>
                </c:pt>
                <c:pt idx="84">
                  <c:v>July Autobagger L6</c:v>
                </c:pt>
                <c:pt idx="85">
                  <c:v>July/Aug Sausage</c:v>
                </c:pt>
                <c:pt idx="86">
                  <c:v>July/Aug Sausage</c:v>
                </c:pt>
                <c:pt idx="87">
                  <c:v>July/Aug V2 Line 4</c:v>
                </c:pt>
                <c:pt idx="88">
                  <c:v>July/Aug V2 Line 4</c:v>
                </c:pt>
                <c:pt idx="89">
                  <c:v>Aug Repack - Line 1 </c:v>
                </c:pt>
                <c:pt idx="90">
                  <c:v>Aug Repack - Line 1 </c:v>
                </c:pt>
                <c:pt idx="91">
                  <c:v>August - Sausage</c:v>
                </c:pt>
                <c:pt idx="92">
                  <c:v>August - Sausage</c:v>
                </c:pt>
                <c:pt idx="93">
                  <c:v>August Autobagger L6</c:v>
                </c:pt>
                <c:pt idx="94">
                  <c:v>August Autobagger L6</c:v>
                </c:pt>
                <c:pt idx="95">
                  <c:v>August V1 Line 7</c:v>
                </c:pt>
                <c:pt idx="96">
                  <c:v>August V1 Line 7</c:v>
                </c:pt>
                <c:pt idx="97">
                  <c:v>Aug V2 Line 4</c:v>
                </c:pt>
                <c:pt idx="98">
                  <c:v>Aug V2 Line 4</c:v>
                </c:pt>
              </c:strCache>
            </c:strRef>
          </c:cat>
          <c:val>
            <c:numRef>
              <c:f>'by zone'!$E$3:$E$102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1-E289-49BB-8AC7-01B6320AA81B}"/>
            </c:ext>
          </c:extLst>
        </c:ser>
        <c:ser>
          <c:idx val="2"/>
          <c:order val="2"/>
          <c:tx>
            <c:strRef>
              <c:f>'by zone'!$F$2</c:f>
              <c:strCache>
                <c:ptCount val="1"/>
                <c:pt idx="0">
                  <c:v>result</c:v>
                </c:pt>
              </c:strCache>
            </c:strRef>
          </c:tx>
          <c:spPr>
            <a:ln w="28575" cap="rnd">
              <a:solidFill>
                <a:schemeClr val="accent3"/>
              </a:solidFill>
              <a:round/>
            </a:ln>
            <a:effectLst/>
          </c:spPr>
          <c:marker>
            <c:symbol val="none"/>
          </c:marker>
          <c:cat>
            <c:strRef>
              <c:f>'by zone'!$B$3:$B$102</c:f>
              <c:strCache>
                <c:ptCount val="99"/>
                <c:pt idx="0">
                  <c:v>January -Repack Line 1</c:v>
                </c:pt>
                <c:pt idx="1">
                  <c:v>January -Repack Line 1</c:v>
                </c:pt>
                <c:pt idx="2">
                  <c:v>January -V2 line 4</c:v>
                </c:pt>
                <c:pt idx="3">
                  <c:v>January - V2 line 4</c:v>
                </c:pt>
                <c:pt idx="4">
                  <c:v>January - V1 Line 7</c:v>
                </c:pt>
                <c:pt idx="5">
                  <c:v>January - V1 Line 7</c:v>
                </c:pt>
                <c:pt idx="6">
                  <c:v>February - repack line 1</c:v>
                </c:pt>
                <c:pt idx="7">
                  <c:v>February - repack line 1</c:v>
                </c:pt>
                <c:pt idx="8">
                  <c:v>February - autobagger Line 6</c:v>
                </c:pt>
                <c:pt idx="9">
                  <c:v>February - autobagger Line 6</c:v>
                </c:pt>
                <c:pt idx="10">
                  <c:v>February - V1 Line 7</c:v>
                </c:pt>
                <c:pt idx="11">
                  <c:v>February - V1 Line 7</c:v>
                </c:pt>
                <c:pt idx="12">
                  <c:v>February - V2 Line 4</c:v>
                </c:pt>
                <c:pt idx="13">
                  <c:v>February - V2 Line 4</c:v>
                </c:pt>
                <c:pt idx="14">
                  <c:v>February - Sausage</c:v>
                </c:pt>
                <c:pt idx="15">
                  <c:v>February-Sausage</c:v>
                </c:pt>
                <c:pt idx="16">
                  <c:v>March - Repack Line 1</c:v>
                </c:pt>
                <c:pt idx="17">
                  <c:v>March - Repack Line 1</c:v>
                </c:pt>
                <c:pt idx="18">
                  <c:v>March - V1 Line 7</c:v>
                </c:pt>
                <c:pt idx="19">
                  <c:v>March - V1 Line 7</c:v>
                </c:pt>
                <c:pt idx="20">
                  <c:v>March - V2 Line 4</c:v>
                </c:pt>
                <c:pt idx="21">
                  <c:v>March - V2 Line 4</c:v>
                </c:pt>
                <c:pt idx="22">
                  <c:v>April-Autobagger</c:v>
                </c:pt>
                <c:pt idx="23">
                  <c:v>April-Autobagger</c:v>
                </c:pt>
                <c:pt idx="24">
                  <c:v>April-V1 Line 7</c:v>
                </c:pt>
                <c:pt idx="25">
                  <c:v>April-V1 Line 7</c:v>
                </c:pt>
                <c:pt idx="26">
                  <c:v>April-Repack Line 1</c:v>
                </c:pt>
                <c:pt idx="27">
                  <c:v>April-Repack Line 1</c:v>
                </c:pt>
                <c:pt idx="28">
                  <c:v>April - V2</c:v>
                </c:pt>
                <c:pt idx="29">
                  <c:v>April - V2</c:v>
                </c:pt>
                <c:pt idx="30">
                  <c:v>May V1 Line 7</c:v>
                </c:pt>
                <c:pt idx="31">
                  <c:v>May V1 Line 7</c:v>
                </c:pt>
                <c:pt idx="32">
                  <c:v>May - Autobagger Line6</c:v>
                </c:pt>
                <c:pt idx="33">
                  <c:v>May - Autobagger Line6</c:v>
                </c:pt>
                <c:pt idx="34">
                  <c:v>May- V2 Line 4</c:v>
                </c:pt>
                <c:pt idx="35">
                  <c:v>May- V2 Line 4</c:v>
                </c:pt>
                <c:pt idx="36">
                  <c:v>May-Repack Line 1</c:v>
                </c:pt>
                <c:pt idx="37">
                  <c:v>May-Repack Line 1</c:v>
                </c:pt>
                <c:pt idx="38">
                  <c:v>may - sausage</c:v>
                </c:pt>
                <c:pt idx="39">
                  <c:v>may - sausage</c:v>
                </c:pt>
                <c:pt idx="40">
                  <c:v>may - maintenance tool</c:v>
                </c:pt>
                <c:pt idx="41">
                  <c:v>may - jerky sink frame</c:v>
                </c:pt>
                <c:pt idx="42">
                  <c:v>may-maintenance packaging tool box</c:v>
                </c:pt>
                <c:pt idx="43">
                  <c:v>may-grey trolley frame</c:v>
                </c:pt>
                <c:pt idx="44">
                  <c:v>may-trolley broom frame</c:v>
                </c:pt>
                <c:pt idx="45">
                  <c:v>may-popper cutter frame</c:v>
                </c:pt>
                <c:pt idx="46">
                  <c:v>may-table frame</c:v>
                </c:pt>
                <c:pt idx="47">
                  <c:v>may- pump truck handle</c:v>
                </c:pt>
                <c:pt idx="48">
                  <c:v>may-truck wheel</c:v>
                </c:pt>
                <c:pt idx="49">
                  <c:v>may-outter garbage</c:v>
                </c:pt>
                <c:pt idx="50">
                  <c:v>may-green ladder</c:v>
                </c:pt>
                <c:pt idx="51">
                  <c:v>may-smokehouse panel</c:v>
                </c:pt>
                <c:pt idx="52">
                  <c:v>may-jerky cutter wheel</c:v>
                </c:pt>
                <c:pt idx="53">
                  <c:v>may-back wall sanitation</c:v>
                </c:pt>
                <c:pt idx="54">
                  <c:v>may-sanitation room back ppe wall</c:v>
                </c:pt>
                <c:pt idx="55">
                  <c:v>may-broom</c:v>
                </c:pt>
                <c:pt idx="56">
                  <c:v>may - lunchroom door frame</c:v>
                </c:pt>
                <c:pt idx="57">
                  <c:v>maintenance tool - Day 1</c:v>
                </c:pt>
                <c:pt idx="58">
                  <c:v>wheels jerky cutter - day 1</c:v>
                </c:pt>
                <c:pt idx="59">
                  <c:v>squeegee - day 1 </c:v>
                </c:pt>
                <c:pt idx="60">
                  <c:v>drain inside jerky room - vector site</c:v>
                </c:pt>
                <c:pt idx="61">
                  <c:v>drain outside jerky room - vector site</c:v>
                </c:pt>
                <c:pt idx="62">
                  <c:v>stainless bin wheel - vector site</c:v>
                </c:pt>
                <c:pt idx="63">
                  <c:v>maintenance tool - Day 2</c:v>
                </c:pt>
                <c:pt idx="64">
                  <c:v>wheels jerky cutter - day 2</c:v>
                </c:pt>
                <c:pt idx="65">
                  <c:v>squeegee - day 2</c:v>
                </c:pt>
                <c:pt idx="66">
                  <c:v>maintenance tool - Day 3</c:v>
                </c:pt>
                <c:pt idx="67">
                  <c:v>wheels jerky cutter - day 3</c:v>
                </c:pt>
                <c:pt idx="68">
                  <c:v>squeegee - day 3</c:v>
                </c:pt>
                <c:pt idx="69">
                  <c:v>June V1 Line 7</c:v>
                </c:pt>
                <c:pt idx="70">
                  <c:v>June V1 Line 7</c:v>
                </c:pt>
                <c:pt idx="71">
                  <c:v>June V2 Line 4</c:v>
                </c:pt>
                <c:pt idx="72">
                  <c:v>June V2 Line 4</c:v>
                </c:pt>
                <c:pt idx="73">
                  <c:v>June Sausage</c:v>
                </c:pt>
                <c:pt idx="74">
                  <c:v>June Sausage</c:v>
                </c:pt>
                <c:pt idx="75">
                  <c:v>June Autobagger L6</c:v>
                </c:pt>
                <c:pt idx="76">
                  <c:v>June Autobagger L6</c:v>
                </c:pt>
                <c:pt idx="77">
                  <c:v>June Repack - Line 1 </c:v>
                </c:pt>
                <c:pt idx="78">
                  <c:v>June Repack - Line 1 </c:v>
                </c:pt>
                <c:pt idx="79">
                  <c:v>July V1 Line 7</c:v>
                </c:pt>
                <c:pt idx="80">
                  <c:v>July V1 Line 7</c:v>
                </c:pt>
                <c:pt idx="81">
                  <c:v>July Repack - Line 1 </c:v>
                </c:pt>
                <c:pt idx="82">
                  <c:v>June Repack - Line 1 </c:v>
                </c:pt>
                <c:pt idx="83">
                  <c:v>July Autobagger L6</c:v>
                </c:pt>
                <c:pt idx="84">
                  <c:v>July Autobagger L6</c:v>
                </c:pt>
                <c:pt idx="85">
                  <c:v>July/Aug Sausage</c:v>
                </c:pt>
                <c:pt idx="86">
                  <c:v>July/Aug Sausage</c:v>
                </c:pt>
                <c:pt idx="87">
                  <c:v>July/Aug V2 Line 4</c:v>
                </c:pt>
                <c:pt idx="88">
                  <c:v>July/Aug V2 Line 4</c:v>
                </c:pt>
                <c:pt idx="89">
                  <c:v>Aug Repack - Line 1 </c:v>
                </c:pt>
                <c:pt idx="90">
                  <c:v>Aug Repack - Line 1 </c:v>
                </c:pt>
                <c:pt idx="91">
                  <c:v>August - Sausage</c:v>
                </c:pt>
                <c:pt idx="92">
                  <c:v>August - Sausage</c:v>
                </c:pt>
                <c:pt idx="93">
                  <c:v>August Autobagger L6</c:v>
                </c:pt>
                <c:pt idx="94">
                  <c:v>August Autobagger L6</c:v>
                </c:pt>
                <c:pt idx="95">
                  <c:v>August V1 Line 7</c:v>
                </c:pt>
                <c:pt idx="96">
                  <c:v>August V1 Line 7</c:v>
                </c:pt>
                <c:pt idx="97">
                  <c:v>Aug V2 Line 4</c:v>
                </c:pt>
                <c:pt idx="98">
                  <c:v>Aug V2 Line 4</c:v>
                </c:pt>
              </c:strCache>
            </c:strRef>
          </c:cat>
          <c:val>
            <c:numRef>
              <c:f>'by zone'!$F$3:$F$102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1</c:v>
                </c:pt>
                <c:pt idx="41">
                  <c:v>0</c:v>
                </c:pt>
                <c:pt idx="42">
                  <c:v>0</c:v>
                </c:pt>
                <c:pt idx="43">
                  <c:v>0</c:v>
                </c:pt>
                <c:pt idx="44">
                  <c:v>0</c:v>
                </c:pt>
                <c:pt idx="45">
                  <c:v>0</c:v>
                </c:pt>
                <c:pt idx="46">
                  <c:v>0</c:v>
                </c:pt>
                <c:pt idx="47">
                  <c:v>0</c:v>
                </c:pt>
                <c:pt idx="48">
                  <c:v>0</c:v>
                </c:pt>
                <c:pt idx="49">
                  <c:v>0</c:v>
                </c:pt>
                <c:pt idx="50">
                  <c:v>0</c:v>
                </c:pt>
                <c:pt idx="51">
                  <c:v>0</c:v>
                </c:pt>
                <c:pt idx="52">
                  <c:v>1</c:v>
                </c:pt>
                <c:pt idx="53">
                  <c:v>0</c:v>
                </c:pt>
                <c:pt idx="54">
                  <c:v>0</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2-E289-49BB-8AC7-01B6320AA81B}"/>
            </c:ext>
          </c:extLst>
        </c:ser>
        <c:dLbls>
          <c:showLegendKey val="0"/>
          <c:showVal val="0"/>
          <c:showCatName val="0"/>
          <c:showSerName val="0"/>
          <c:showPercent val="0"/>
          <c:showBubbleSize val="0"/>
        </c:dLbls>
        <c:smooth val="0"/>
        <c:axId val="935824880"/>
        <c:axId val="935822480"/>
      </c:lineChart>
      <c:catAx>
        <c:axId val="9358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22480"/>
        <c:crosses val="autoZero"/>
        <c:auto val="1"/>
        <c:lblAlgn val="ctr"/>
        <c:lblOffset val="100"/>
        <c:noMultiLvlLbl val="0"/>
      </c:catAx>
      <c:valAx>
        <c:axId val="93582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2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LISTERIA CONTAMINATION IN THE PRODUCTION LINES - 2026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'2026 line'!$A$3</c:f>
              <c:strCache>
                <c:ptCount val="1"/>
                <c:pt idx="0">
                  <c:v>V1</c:v>
                </c:pt>
              </c:strCache>
            </c:strRef>
          </c:tx>
          <c:spPr>
            <a:ln w="28575" cap="rnd">
              <a:solidFill>
                <a:schemeClr val="accent1"/>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line'!$B$3:$M$3</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200A-4C2F-8D75-83827F17F517}"/>
            </c:ext>
          </c:extLst>
        </c:ser>
        <c:ser>
          <c:idx val="1"/>
          <c:order val="1"/>
          <c:tx>
            <c:strRef>
              <c:f>'2026 line'!$A$4</c:f>
              <c:strCache>
                <c:ptCount val="1"/>
                <c:pt idx="0">
                  <c:v>V2</c:v>
                </c:pt>
              </c:strCache>
            </c:strRef>
          </c:tx>
          <c:spPr>
            <a:ln w="28575" cap="rnd">
              <a:solidFill>
                <a:schemeClr val="accent2"/>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line'!$B$4:$M$4</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200A-4C2F-8D75-83827F17F517}"/>
            </c:ext>
          </c:extLst>
        </c:ser>
        <c:ser>
          <c:idx val="2"/>
          <c:order val="2"/>
          <c:tx>
            <c:strRef>
              <c:f>'2026 line'!$A$5</c:f>
              <c:strCache>
                <c:ptCount val="1"/>
                <c:pt idx="0">
                  <c:v>Repak</c:v>
                </c:pt>
              </c:strCache>
            </c:strRef>
          </c:tx>
          <c:spPr>
            <a:ln w="28575" cap="rnd">
              <a:solidFill>
                <a:schemeClr val="accent3"/>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line'!$B$5:$M$5</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200A-4C2F-8D75-83827F17F517}"/>
            </c:ext>
          </c:extLst>
        </c:ser>
        <c:ser>
          <c:idx val="3"/>
          <c:order val="3"/>
          <c:tx>
            <c:strRef>
              <c:f>'2026 line'!$A$6</c:f>
              <c:strCache>
                <c:ptCount val="1"/>
                <c:pt idx="0">
                  <c:v>Autobagger</c:v>
                </c:pt>
              </c:strCache>
            </c:strRef>
          </c:tx>
          <c:spPr>
            <a:ln w="28575" cap="rnd">
              <a:solidFill>
                <a:schemeClr val="accent4"/>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line'!$B$6:$M$6</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200A-4C2F-8D75-83827F17F517}"/>
            </c:ext>
          </c:extLst>
        </c:ser>
        <c:ser>
          <c:idx val="4"/>
          <c:order val="4"/>
          <c:tx>
            <c:strRef>
              <c:f>'2026 line'!$A$7</c:f>
              <c:strCache>
                <c:ptCount val="1"/>
                <c:pt idx="0">
                  <c:v>Sausage</c:v>
                </c:pt>
              </c:strCache>
            </c:strRef>
          </c:tx>
          <c:spPr>
            <a:ln w="28575" cap="rnd">
              <a:solidFill>
                <a:schemeClr val="accent5"/>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line'!$B$7:$M$7</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200A-4C2F-8D75-83827F17F517}"/>
            </c:ext>
          </c:extLst>
        </c:ser>
        <c:ser>
          <c:idx val="5"/>
          <c:order val="5"/>
          <c:tx>
            <c:strRef>
              <c:f>'2026 line'!$A$8</c:f>
              <c:strCache>
                <c:ptCount val="1"/>
                <c:pt idx="0">
                  <c:v>Uniforms</c:v>
                </c:pt>
              </c:strCache>
            </c:strRef>
          </c:tx>
          <c:spPr>
            <a:ln w="28575" cap="rnd">
              <a:solidFill>
                <a:schemeClr val="accent6"/>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line'!$B$8:$M$8</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200A-4C2F-8D75-83827F17F517}"/>
            </c:ext>
          </c:extLst>
        </c:ser>
        <c:ser>
          <c:idx val="6"/>
          <c:order val="6"/>
          <c:tx>
            <c:strRef>
              <c:f>'2026 line'!$A$9</c:f>
              <c:strCache>
                <c:ptCount val="1"/>
                <c:pt idx="0">
                  <c:v>Drains</c:v>
                </c:pt>
              </c:strCache>
            </c:strRef>
          </c:tx>
          <c:spPr>
            <a:ln w="28575" cap="rnd">
              <a:solidFill>
                <a:schemeClr val="accent1">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line'!$B$9:$M$9</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6-200A-4C2F-8D75-83827F17F517}"/>
            </c:ext>
          </c:extLst>
        </c:ser>
        <c:ser>
          <c:idx val="7"/>
          <c:order val="7"/>
          <c:tx>
            <c:strRef>
              <c:f>'2026 line'!$A$10</c:f>
              <c:strCache>
                <c:ptCount val="1"/>
                <c:pt idx="0">
                  <c:v>NonFood Contact</c:v>
                </c:pt>
              </c:strCache>
            </c:strRef>
          </c:tx>
          <c:spPr>
            <a:ln w="28575" cap="rnd">
              <a:solidFill>
                <a:schemeClr val="accent2">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line'!$B$10:$M$10</c:f>
              <c:numCache>
                <c:formatCode>General</c:formatCode>
                <c:ptCount val="12"/>
                <c:pt idx="0">
                  <c:v>0</c:v>
                </c:pt>
                <c:pt idx="1">
                  <c:v>0</c:v>
                </c:pt>
                <c:pt idx="2">
                  <c:v>0</c:v>
                </c:pt>
                <c:pt idx="3">
                  <c:v>0</c:v>
                </c:pt>
                <c:pt idx="4">
                  <c:v>3</c:v>
                </c:pt>
                <c:pt idx="5">
                  <c:v>0</c:v>
                </c:pt>
                <c:pt idx="6">
                  <c:v>0</c:v>
                </c:pt>
                <c:pt idx="7">
                  <c:v>0</c:v>
                </c:pt>
              </c:numCache>
            </c:numRef>
          </c:val>
          <c:smooth val="0"/>
          <c:extLst>
            <c:ext xmlns:c16="http://schemas.microsoft.com/office/drawing/2014/chart" uri="{C3380CC4-5D6E-409C-BE32-E72D297353CC}">
              <c16:uniqueId val="{00000007-200A-4C2F-8D75-83827F17F517}"/>
            </c:ext>
          </c:extLst>
        </c:ser>
        <c:ser>
          <c:idx val="8"/>
          <c:order val="8"/>
          <c:tx>
            <c:strRef>
              <c:f>'2026 line'!$A$11</c:f>
              <c:strCache>
                <c:ptCount val="1"/>
                <c:pt idx="0">
                  <c:v>air (yeast/mold / acc) (non compliance) </c:v>
                </c:pt>
              </c:strCache>
            </c:strRef>
          </c:tx>
          <c:spPr>
            <a:ln w="28575" cap="rnd">
              <a:solidFill>
                <a:schemeClr val="accent3">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line'!$B$11:$M$11</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8-200A-4C2F-8D75-83827F17F517}"/>
            </c:ext>
          </c:extLst>
        </c:ser>
        <c:ser>
          <c:idx val="9"/>
          <c:order val="9"/>
          <c:tx>
            <c:strRef>
              <c:f>'2026 line'!$A$12</c:f>
              <c:strCache>
                <c:ptCount val="1"/>
                <c:pt idx="0">
                  <c:v>na</c:v>
                </c:pt>
              </c:strCache>
            </c:strRef>
          </c:tx>
          <c:spPr>
            <a:ln w="28575" cap="rnd">
              <a:solidFill>
                <a:schemeClr val="accent4">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line'!$B$12:$M$12</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9-200A-4C2F-8D75-83827F17F517}"/>
            </c:ext>
          </c:extLst>
        </c:ser>
        <c:ser>
          <c:idx val="10"/>
          <c:order val="10"/>
          <c:tx>
            <c:strRef>
              <c:f>'2026 line'!$A$13</c:f>
              <c:strCache>
                <c:ptCount val="1"/>
                <c:pt idx="0">
                  <c:v>na</c:v>
                </c:pt>
              </c:strCache>
            </c:strRef>
          </c:tx>
          <c:spPr>
            <a:ln w="28575" cap="rnd">
              <a:solidFill>
                <a:schemeClr val="accent5">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line'!$B$13:$M$13</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A-200A-4C2F-8D75-83827F17F517}"/>
            </c:ext>
          </c:extLst>
        </c:ser>
        <c:ser>
          <c:idx val="11"/>
          <c:order val="11"/>
          <c:tx>
            <c:strRef>
              <c:f>'2026 line'!$A$14</c:f>
              <c:strCache>
                <c:ptCount val="1"/>
                <c:pt idx="0">
                  <c:v>na</c:v>
                </c:pt>
              </c:strCache>
            </c:strRef>
          </c:tx>
          <c:spPr>
            <a:ln w="28575" cap="rnd">
              <a:solidFill>
                <a:schemeClr val="accent6">
                  <a:lumMod val="60000"/>
                </a:schemeClr>
              </a:solidFill>
              <a:round/>
            </a:ln>
            <a:effectLst/>
          </c:spPr>
          <c:marker>
            <c:symbol val="none"/>
          </c:marker>
          <c:cat>
            <c:strRef>
              <c:f>'2026 line'!$B$2:$M$2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'2026 line'!$B$14:$M$14</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B-200A-4C2F-8D75-83827F17F517}"/>
            </c:ext>
          </c:extLst>
        </c:ser>
        <c:dLbls>
          <c:showLegendKey val="0"/>
          <c:showVal val="0"/>
          <c:showCatName val="0"/>
          <c:showSerName val="0"/>
          <c:showPercent val="0"/>
          <c:showBubbleSize val="0"/>
        </c:dLbls>
        <c:smooth val="0"/>
        <c:axId val="761099328"/>
        <c:axId val="761100312"/>
      </c:lineChart>
      <c:catAx>
        <c:axId val="76109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1100312"/>
        <c:crosses val="autoZero"/>
        <c:auto val="1"/>
        <c:lblAlgn val="ctr"/>
        <c:lblOffset val="100"/>
        <c:noMultiLvlLbl val="0"/>
      </c:catAx>
      <c:valAx>
        <c:axId val="761100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109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paperSize="9" orientation="landscape" verticalDpi="0"/>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447675</xdr:colOff>
      <xdr:row>1</xdr:row>
      <xdr:rowOff>114300</xdr:rowOff>
    </xdr:from>
    <xdr:to>
      <xdr:col>37</xdr:col>
      <xdr:colOff>409575</xdr:colOff>
      <xdr:row>20</xdr:row>
      <xdr:rowOff>114300</xdr:rowOff>
    </xdr:to>
    <xdr:graphicFrame macro="">
      <xdr:nvGraphicFramePr>
        <xdr:cNvPr id="2" name="Chart 1">
          <a:extLst>
            <a:ext uri="{FF2B5EF4-FFF2-40B4-BE49-F238E27FC236}">
              <a16:creationId xmlns:a16="http://schemas.microsoft.com/office/drawing/2014/main" id="{6209E4A9-624A-4CC8-8100-33647F5A7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33618</xdr:colOff>
      <xdr:row>14</xdr:row>
      <xdr:rowOff>6724</xdr:rowOff>
    </xdr:from>
    <xdr:to>
      <xdr:col>12</xdr:col>
      <xdr:colOff>381000</xdr:colOff>
      <xdr:row>25</xdr:row>
      <xdr:rowOff>145676</xdr:rowOff>
    </xdr:to>
    <xdr:graphicFrame macro="">
      <xdr:nvGraphicFramePr>
        <xdr:cNvPr id="2" name="Chart 1">
          <a:extLst>
            <a:ext uri="{FF2B5EF4-FFF2-40B4-BE49-F238E27FC236}">
              <a16:creationId xmlns:a16="http://schemas.microsoft.com/office/drawing/2014/main" id="{FEC01C9C-0612-4F9C-998A-7E276891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196850</xdr:colOff>
      <xdr:row>8</xdr:row>
      <xdr:rowOff>50800</xdr:rowOff>
    </xdr:from>
    <xdr:to>
      <xdr:col>4</xdr:col>
      <xdr:colOff>317764</xdr:colOff>
      <xdr:row>16</xdr:row>
      <xdr:rowOff>69927</xdr:rowOff>
    </xdr:to>
    <xdr:pic>
      <xdr:nvPicPr>
        <xdr:cNvPr id="2" name="Picture 1">
          <a:extLst>
            <a:ext uri="{FF2B5EF4-FFF2-40B4-BE49-F238E27FC236}">
              <a16:creationId xmlns:a16="http://schemas.microsoft.com/office/drawing/2014/main" id="{BF189B2B-918E-5309-2FAD-6EA1D823FFE6}"/>
            </a:ext>
          </a:extLst>
        </xdr:cNvPr>
        <xdr:cNvPicPr>
          <a:picLocks noChangeAspect="1"/>
        </xdr:cNvPicPr>
      </xdr:nvPicPr>
      <xdr:blipFill>
        <a:blip xmlns:r="http://schemas.openxmlformats.org/officeDocument/2006/relationships" r:embed="rId1"/>
        <a:stretch>
          <a:fillRect/>
        </a:stretch>
      </xdr:blipFill>
      <xdr:spPr>
        <a:xfrm>
          <a:off x="196850" y="1524000"/>
          <a:ext cx="5131064" cy="1492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102A7-90E9-4AA6-ABC1-91F839BD4027}" name="Table2" displayName="Table2" ref="A1:A7" totalsRowShown="0" headerRowDxfId="2" dataDxfId="1">
  <autoFilter ref="A1:A7" xr:uid="{F0E59133-19B9-4FD4-9B1E-FBF02BAC6970}"/>
  <tableColumns count="1">
    <tableColumn id="1" xr3:uid="{81A7954C-B507-47E9-AA64-BF35D65CD0CA}" name="zon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O1000"/>
  <sheetViews>
    <sheetView tabSelected="1" zoomScaleNormal="100" workbookViewId="0">
      <selection activeCell="K20" sqref="K20"/>
    </sheetView>
  </sheetViews>
  <sheetFormatPr defaultColWidth="14.453125" defaultRowHeight="15" customHeight="1" x14ac:dyDescent="0.35"/>
  <cols>
    <col min="1" max="1" width="58.26953125" customWidth="1"/>
    <col min="2" max="2" width="4.54296875" customWidth="1"/>
    <col min="3" max="5" width="5.54296875" customWidth="1"/>
    <col min="6" max="6" width="6.453125" customWidth="1"/>
    <col min="7" max="8" width="5.54296875" customWidth="1"/>
    <col min="9" max="9" width="6.54296875" customWidth="1"/>
    <col min="10" max="12" width="5.54296875" customWidth="1"/>
    <col min="13" max="13" width="7.26953125" customWidth="1"/>
    <col min="14" max="14" width="5.54296875" customWidth="1"/>
  </cols>
  <sheetData>
    <row r="1" spans="1:15" ht="18" customHeight="1" x14ac:dyDescent="0.35">
      <c r="A1" s="78" t="s">
        <v>0</v>
      </c>
      <c r="B1" s="79"/>
      <c r="C1" s="79"/>
      <c r="D1" s="79"/>
      <c r="E1" s="79"/>
      <c r="F1" s="79"/>
      <c r="G1" s="79"/>
      <c r="H1" s="79"/>
      <c r="I1" s="79"/>
      <c r="J1" s="79"/>
      <c r="K1" s="79"/>
      <c r="L1" s="79"/>
      <c r="M1" s="79"/>
      <c r="N1" s="80"/>
    </row>
    <row r="2" spans="1:15" ht="41.25" customHeight="1" x14ac:dyDescent="0.35">
      <c r="A2" s="81" t="s">
        <v>1</v>
      </c>
      <c r="B2" s="82"/>
      <c r="C2" s="82"/>
      <c r="D2" s="82"/>
      <c r="E2" s="82"/>
      <c r="F2" s="82"/>
      <c r="G2" s="82"/>
      <c r="H2" s="82"/>
      <c r="I2" s="82"/>
      <c r="J2" s="82"/>
      <c r="K2" s="82"/>
      <c r="L2" s="82"/>
      <c r="M2" s="82"/>
      <c r="N2" s="83"/>
    </row>
    <row r="3" spans="1:15" ht="18" customHeight="1" x14ac:dyDescent="0.35">
      <c r="A3" s="84" t="s">
        <v>2</v>
      </c>
      <c r="B3" s="84" t="s">
        <v>3</v>
      </c>
      <c r="C3" s="86" t="s">
        <v>4</v>
      </c>
      <c r="D3" s="87"/>
      <c r="E3" s="87"/>
      <c r="F3" s="87"/>
      <c r="G3" s="87"/>
      <c r="H3" s="87"/>
      <c r="I3" s="87"/>
      <c r="J3" s="87"/>
      <c r="K3" s="87"/>
      <c r="L3" s="87"/>
      <c r="M3" s="87"/>
      <c r="N3" s="88"/>
    </row>
    <row r="4" spans="1:15" ht="18" customHeight="1" x14ac:dyDescent="0.35">
      <c r="A4" s="85"/>
      <c r="B4" s="85"/>
      <c r="C4" s="13" t="s">
        <v>5</v>
      </c>
      <c r="D4" s="13" t="s">
        <v>6</v>
      </c>
      <c r="E4" s="13" t="s">
        <v>7</v>
      </c>
      <c r="F4" s="13" t="s">
        <v>8</v>
      </c>
      <c r="G4" s="13" t="s">
        <v>9</v>
      </c>
      <c r="H4" s="13" t="s">
        <v>10</v>
      </c>
      <c r="I4" s="13" t="s">
        <v>11</v>
      </c>
      <c r="J4" s="13" t="s">
        <v>12</v>
      </c>
      <c r="K4" s="13" t="s">
        <v>13</v>
      </c>
      <c r="L4" s="13" t="s">
        <v>14</v>
      </c>
      <c r="M4" s="13" t="s">
        <v>15</v>
      </c>
      <c r="N4" s="13" t="s">
        <v>16</v>
      </c>
    </row>
    <row r="5" spans="1:15" ht="260" x14ac:dyDescent="0.35">
      <c r="A5" s="7" t="s">
        <v>17</v>
      </c>
      <c r="B5" s="11" t="s">
        <v>18</v>
      </c>
      <c r="C5" s="20" t="s">
        <v>19</v>
      </c>
      <c r="D5" s="20" t="s">
        <v>20</v>
      </c>
      <c r="E5" s="20" t="s">
        <v>21</v>
      </c>
      <c r="F5" s="20" t="s">
        <v>22</v>
      </c>
      <c r="G5" s="20" t="s">
        <v>23</v>
      </c>
      <c r="H5" s="20" t="s">
        <v>24</v>
      </c>
      <c r="I5" s="20" t="s">
        <v>25</v>
      </c>
      <c r="J5" s="20" t="s">
        <v>26</v>
      </c>
      <c r="K5" s="16" t="s">
        <v>27</v>
      </c>
      <c r="L5" s="16" t="s">
        <v>27</v>
      </c>
      <c r="M5" s="16" t="s">
        <v>27</v>
      </c>
      <c r="N5" s="16" t="s">
        <v>27</v>
      </c>
      <c r="O5" s="9"/>
    </row>
    <row r="6" spans="1:15" ht="143" x14ac:dyDescent="0.35">
      <c r="A6" s="1" t="s">
        <v>28</v>
      </c>
      <c r="B6" s="11" t="s">
        <v>18</v>
      </c>
      <c r="C6" s="20" t="s">
        <v>29</v>
      </c>
      <c r="D6" s="20" t="s">
        <v>30</v>
      </c>
      <c r="E6" s="20" t="s">
        <v>31</v>
      </c>
      <c r="F6" s="20" t="s">
        <v>32</v>
      </c>
      <c r="G6" s="20" t="s">
        <v>23</v>
      </c>
      <c r="H6" s="20" t="s">
        <v>24</v>
      </c>
      <c r="I6" s="20" t="s">
        <v>33</v>
      </c>
      <c r="J6" s="20" t="s">
        <v>26</v>
      </c>
      <c r="K6" s="16" t="s">
        <v>27</v>
      </c>
      <c r="L6" s="16" t="s">
        <v>27</v>
      </c>
      <c r="M6" s="16" t="s">
        <v>27</v>
      </c>
      <c r="N6" s="16" t="s">
        <v>27</v>
      </c>
      <c r="O6" s="9"/>
    </row>
    <row r="7" spans="1:15" ht="156" x14ac:dyDescent="0.35">
      <c r="A7" s="4" t="s">
        <v>34</v>
      </c>
      <c r="B7" s="11" t="s">
        <v>35</v>
      </c>
      <c r="C7" s="59"/>
      <c r="D7" s="59"/>
      <c r="E7" s="60"/>
      <c r="F7" s="23" t="s">
        <v>36</v>
      </c>
      <c r="G7" s="60"/>
      <c r="H7" s="60"/>
      <c r="I7" s="59"/>
      <c r="J7" s="59"/>
      <c r="K7" s="60"/>
      <c r="L7" s="59"/>
      <c r="M7" s="59"/>
      <c r="N7" s="60"/>
      <c r="O7" s="9"/>
    </row>
    <row r="8" spans="1:15" ht="115.5" x14ac:dyDescent="0.35">
      <c r="A8" s="7" t="s">
        <v>37</v>
      </c>
      <c r="B8" s="11" t="s">
        <v>38</v>
      </c>
      <c r="C8" s="61"/>
      <c r="D8" s="62"/>
      <c r="E8" s="22" t="s">
        <v>39</v>
      </c>
      <c r="F8" s="59"/>
      <c r="G8" s="59"/>
      <c r="H8" s="59"/>
      <c r="I8" s="59"/>
      <c r="J8" s="59"/>
      <c r="K8" s="16"/>
      <c r="L8" s="3"/>
      <c r="M8" s="3" t="s">
        <v>27</v>
      </c>
      <c r="N8" s="3"/>
      <c r="O8" s="9"/>
    </row>
    <row r="9" spans="1:15" ht="73.5" x14ac:dyDescent="0.35">
      <c r="A9" s="7" t="s">
        <v>40</v>
      </c>
      <c r="B9" s="11" t="s">
        <v>41</v>
      </c>
      <c r="C9" s="63"/>
      <c r="D9" s="63"/>
      <c r="E9" s="21" t="s">
        <v>42</v>
      </c>
      <c r="F9" s="64"/>
      <c r="G9" s="63"/>
      <c r="H9" s="21" t="s">
        <v>43</v>
      </c>
      <c r="I9" s="64"/>
      <c r="J9" s="63"/>
      <c r="K9" s="64"/>
      <c r="L9" s="2" t="s">
        <v>44</v>
      </c>
      <c r="M9" s="3"/>
      <c r="N9" s="3"/>
      <c r="O9" s="9"/>
    </row>
    <row r="10" spans="1:15" ht="147" x14ac:dyDescent="0.35">
      <c r="A10" s="7" t="s">
        <v>45</v>
      </c>
      <c r="B10" s="11" t="s">
        <v>41</v>
      </c>
      <c r="C10" s="63"/>
      <c r="D10" s="65"/>
      <c r="E10" s="21" t="s">
        <v>46</v>
      </c>
      <c r="F10" s="66"/>
      <c r="G10" s="65"/>
      <c r="H10" s="21" t="s">
        <v>43</v>
      </c>
      <c r="I10" s="66"/>
      <c r="J10" s="65"/>
      <c r="K10" s="66"/>
      <c r="L10" s="15" t="s">
        <v>44</v>
      </c>
      <c r="M10" s="15"/>
      <c r="N10" s="15"/>
      <c r="O10" s="9"/>
    </row>
    <row r="11" spans="1:15" ht="78" x14ac:dyDescent="0.35">
      <c r="A11" s="10" t="s">
        <v>47</v>
      </c>
      <c r="B11" s="11" t="s">
        <v>38</v>
      </c>
      <c r="C11" s="67"/>
      <c r="D11" s="68"/>
      <c r="E11" s="69"/>
      <c r="F11" s="62"/>
      <c r="G11" s="20" t="s">
        <v>48</v>
      </c>
      <c r="H11" s="70"/>
      <c r="I11" s="70"/>
      <c r="J11" s="70"/>
      <c r="K11" s="59"/>
      <c r="L11" s="17"/>
      <c r="M11" s="16" t="s">
        <v>27</v>
      </c>
      <c r="N11" s="6"/>
      <c r="O11" s="9"/>
    </row>
    <row r="12" spans="1:15" ht="66.5" x14ac:dyDescent="0.35">
      <c r="A12" s="18" t="s">
        <v>49</v>
      </c>
      <c r="B12" s="11" t="s">
        <v>35</v>
      </c>
      <c r="C12" s="71"/>
      <c r="D12" s="71"/>
      <c r="E12" s="71"/>
      <c r="F12" s="71"/>
      <c r="G12" s="20" t="s">
        <v>48</v>
      </c>
      <c r="H12" s="61"/>
      <c r="I12" s="67"/>
      <c r="J12" s="61"/>
      <c r="K12" s="61"/>
      <c r="L12" s="61"/>
      <c r="M12" s="72"/>
      <c r="N12" s="61"/>
      <c r="O12" s="9"/>
    </row>
    <row r="13" spans="1:15" ht="132" x14ac:dyDescent="0.35">
      <c r="A13" s="5" t="s">
        <v>50</v>
      </c>
      <c r="B13" s="11" t="s">
        <v>35</v>
      </c>
      <c r="C13" s="71"/>
      <c r="D13" s="71"/>
      <c r="E13" s="71"/>
      <c r="F13" s="71"/>
      <c r="G13" s="71"/>
      <c r="H13" s="20" t="s">
        <v>51</v>
      </c>
      <c r="I13" s="67"/>
      <c r="J13" s="61"/>
      <c r="K13" s="61"/>
      <c r="L13" s="73"/>
      <c r="M13" s="73"/>
      <c r="N13" s="61"/>
      <c r="O13" s="9"/>
    </row>
    <row r="14" spans="1:15" ht="78" x14ac:dyDescent="0.35">
      <c r="A14" s="48" t="s">
        <v>52</v>
      </c>
      <c r="B14" s="11" t="s">
        <v>35</v>
      </c>
      <c r="C14" s="71"/>
      <c r="D14" s="61"/>
      <c r="E14" s="62"/>
      <c r="F14" s="62"/>
      <c r="G14" s="72"/>
      <c r="H14" s="61"/>
      <c r="I14" s="49" t="s">
        <v>27</v>
      </c>
      <c r="J14" s="61"/>
      <c r="K14" s="61"/>
      <c r="L14" s="61"/>
      <c r="M14" s="61"/>
      <c r="N14" s="61"/>
      <c r="O14" s="9"/>
    </row>
    <row r="15" spans="1:15" ht="108.5" x14ac:dyDescent="0.35">
      <c r="A15" s="4" t="s">
        <v>53</v>
      </c>
      <c r="B15" s="11" t="s">
        <v>35</v>
      </c>
      <c r="C15" s="61"/>
      <c r="D15" s="62"/>
      <c r="E15" s="62"/>
      <c r="F15" s="62"/>
      <c r="G15" s="62"/>
      <c r="H15" s="20" t="s">
        <v>54</v>
      </c>
      <c r="I15" s="62"/>
      <c r="J15" s="62"/>
      <c r="K15" s="62"/>
      <c r="L15" s="67"/>
      <c r="M15" s="62"/>
      <c r="N15" s="62"/>
      <c r="O15" s="9"/>
    </row>
    <row r="16" spans="1:15" ht="53.5" x14ac:dyDescent="0.35">
      <c r="A16" s="4" t="s">
        <v>55</v>
      </c>
      <c r="B16" s="11" t="s">
        <v>35</v>
      </c>
      <c r="C16" s="61"/>
      <c r="D16" s="62"/>
      <c r="E16" s="62"/>
      <c r="F16" s="62"/>
      <c r="G16" s="62"/>
      <c r="H16" s="62"/>
      <c r="I16" s="62"/>
      <c r="J16" s="49" t="s">
        <v>27</v>
      </c>
      <c r="K16" s="62"/>
      <c r="L16" s="67"/>
      <c r="M16" s="62"/>
      <c r="N16" s="62"/>
      <c r="O16" s="9"/>
    </row>
    <row r="17" spans="1:15" ht="40.5" x14ac:dyDescent="0.35">
      <c r="A17" s="7" t="s">
        <v>56</v>
      </c>
      <c r="B17" s="11" t="s">
        <v>35</v>
      </c>
      <c r="C17" s="62"/>
      <c r="D17" s="67"/>
      <c r="E17" s="74"/>
      <c r="F17" s="67"/>
      <c r="G17" s="67"/>
      <c r="H17" s="74"/>
      <c r="I17" s="67"/>
      <c r="J17" s="49" t="s">
        <v>27</v>
      </c>
      <c r="K17" s="75"/>
      <c r="L17" s="76"/>
      <c r="M17" s="67"/>
      <c r="N17" s="74"/>
      <c r="O17" s="9"/>
    </row>
    <row r="18" spans="1:15" ht="78" x14ac:dyDescent="0.35">
      <c r="A18" s="8" t="s">
        <v>57</v>
      </c>
      <c r="B18" s="12" t="s">
        <v>35</v>
      </c>
      <c r="C18" s="62"/>
      <c r="D18" s="62"/>
      <c r="E18" s="74"/>
      <c r="F18" s="67"/>
      <c r="G18" s="74"/>
      <c r="H18" s="74"/>
      <c r="I18" s="49" t="s">
        <v>27</v>
      </c>
      <c r="J18" s="62"/>
      <c r="K18" s="74"/>
      <c r="L18" s="62"/>
      <c r="M18" s="62"/>
      <c r="N18" s="74"/>
      <c r="O18" s="9"/>
    </row>
    <row r="19" spans="1:15" ht="58" x14ac:dyDescent="0.35">
      <c r="A19" s="19" t="s">
        <v>58</v>
      </c>
      <c r="B19" s="14" t="s">
        <v>35</v>
      </c>
      <c r="C19" s="68"/>
      <c r="D19" s="68"/>
      <c r="E19" s="72"/>
      <c r="F19" s="20" t="s">
        <v>59</v>
      </c>
      <c r="G19" s="68"/>
      <c r="H19" s="68"/>
      <c r="I19" s="68"/>
      <c r="J19" s="68"/>
      <c r="K19" s="68"/>
      <c r="L19" s="68"/>
      <c r="M19" s="68"/>
      <c r="N19" s="68"/>
      <c r="O19" s="9"/>
    </row>
    <row r="20" spans="1:15" ht="63" x14ac:dyDescent="0.35">
      <c r="A20" s="53" t="s">
        <v>60</v>
      </c>
      <c r="B20" s="14" t="s">
        <v>35</v>
      </c>
      <c r="C20" s="68"/>
      <c r="D20" s="68"/>
      <c r="E20" s="22" t="s">
        <v>61</v>
      </c>
      <c r="F20" s="68"/>
      <c r="G20" s="68"/>
      <c r="H20" s="68"/>
      <c r="I20" s="68"/>
      <c r="J20" s="68"/>
      <c r="K20" s="68"/>
      <c r="L20" s="68"/>
      <c r="M20" s="68"/>
      <c r="N20" s="68"/>
      <c r="O20" s="9"/>
    </row>
    <row r="21" spans="1:15" ht="15.75" customHeight="1" x14ac:dyDescent="0.35">
      <c r="C21" s="9"/>
      <c r="D21" s="9"/>
      <c r="E21" s="9"/>
      <c r="F21" s="9"/>
      <c r="G21" s="9"/>
      <c r="H21" s="9"/>
      <c r="I21" s="9"/>
      <c r="J21" s="9"/>
      <c r="K21" s="9"/>
      <c r="L21" s="9"/>
      <c r="M21" s="9"/>
      <c r="N21" s="9"/>
    </row>
    <row r="22" spans="1:15" ht="15.75" customHeight="1" x14ac:dyDescent="0.35">
      <c r="A22" s="77" t="s">
        <v>62</v>
      </c>
      <c r="B22" s="77"/>
      <c r="C22" s="77"/>
      <c r="D22" s="77"/>
      <c r="E22" s="77"/>
      <c r="F22" s="77"/>
      <c r="G22" s="77"/>
      <c r="H22" s="77"/>
      <c r="I22" s="77"/>
      <c r="J22" s="77"/>
      <c r="K22" s="77"/>
      <c r="L22" s="77"/>
      <c r="M22" s="77"/>
      <c r="N22" s="77"/>
    </row>
    <row r="23" spans="1:15" ht="15.75" customHeight="1" x14ac:dyDescent="0.35">
      <c r="A23" s="77" t="s">
        <v>63</v>
      </c>
      <c r="B23" s="77"/>
      <c r="C23" s="77"/>
      <c r="D23" s="77"/>
      <c r="E23" s="77"/>
      <c r="F23" s="77"/>
      <c r="G23" s="77"/>
      <c r="H23" s="77"/>
      <c r="I23" s="77"/>
      <c r="J23" s="77"/>
      <c r="K23" s="77"/>
      <c r="L23" s="77"/>
      <c r="M23" s="77"/>
      <c r="N23" s="77"/>
    </row>
    <row r="24" spans="1:15" ht="15.75" customHeight="1" x14ac:dyDescent="0.35"/>
    <row r="25" spans="1:15" ht="15.75" customHeight="1" x14ac:dyDescent="0.35"/>
    <row r="26" spans="1:15" ht="15.75" customHeight="1" x14ac:dyDescent="0.35"/>
    <row r="27" spans="1:15" ht="15.75" customHeight="1" x14ac:dyDescent="0.35"/>
    <row r="28" spans="1:15" ht="15.75" customHeight="1" x14ac:dyDescent="0.35"/>
    <row r="29" spans="1:15" ht="15.75" customHeight="1" x14ac:dyDescent="0.35"/>
    <row r="30" spans="1:15" ht="15.75" customHeight="1" x14ac:dyDescent="0.35"/>
    <row r="31" spans="1:15" ht="15.75" customHeight="1" x14ac:dyDescent="0.35"/>
    <row r="32" spans="1:15"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A22:N22"/>
    <mergeCell ref="A23:N23"/>
    <mergeCell ref="A1:N1"/>
    <mergeCell ref="A2:N2"/>
    <mergeCell ref="A3:A4"/>
    <mergeCell ref="B3:B4"/>
    <mergeCell ref="C3:N3"/>
  </mergeCells>
  <pageMargins left="0.23622047244094491" right="0.23622047244094491" top="0.74803149606299213" bottom="0.74803149606299213" header="0.23622047244094491" footer="0.23622047244094491"/>
  <pageSetup scale="50" fitToHeight="0" orientation="landscape" r:id="rId1"/>
  <headerFooter>
    <oddHeader>&amp;L&amp;"-,Italic"&amp;9The Great Canadian Meat Company&amp;C&amp;"-,Bold"&amp;ULab Testing Schedule&amp;R&amp;"-,Italic"&amp;9&amp;A</oddHeader>
    <oddFooter>&amp;L&amp;"-,Italic"&amp;9Prepared by: MXNS-FTC
  Approved by:KD&amp;CPage &amp;P of &amp;N&amp;R&amp;"-,Italic"&amp;9Rev. Date: Jan 28 2026
Rev. # 05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343E-056B-4A2E-B3C8-6EE1FECC254A}">
  <dimension ref="A2:F101"/>
  <sheetViews>
    <sheetView topLeftCell="A84" workbookViewId="0">
      <selection activeCell="C105" sqref="C105"/>
    </sheetView>
  </sheetViews>
  <sheetFormatPr defaultColWidth="8.7265625" defaultRowHeight="14.5" x14ac:dyDescent="0.35"/>
  <cols>
    <col min="1" max="1" width="8.7265625" style="26"/>
    <col min="2" max="2" width="19" style="26" customWidth="1"/>
    <col min="3" max="3" width="14.453125" style="26" customWidth="1"/>
    <col min="4" max="4" width="9.54296875" style="26" customWidth="1"/>
    <col min="5" max="5" width="47.453125" style="26" customWidth="1"/>
    <col min="6" max="6" width="11.54296875" style="26" customWidth="1"/>
    <col min="7" max="16384" width="8.7265625" style="26"/>
  </cols>
  <sheetData>
    <row r="2" spans="1:6" x14ac:dyDescent="0.35">
      <c r="A2" s="26" t="s">
        <v>64</v>
      </c>
      <c r="B2" s="26" t="s">
        <v>65</v>
      </c>
      <c r="C2" s="26" t="s">
        <v>66</v>
      </c>
      <c r="D2" s="26" t="s">
        <v>67</v>
      </c>
      <c r="E2" s="26" t="s">
        <v>68</v>
      </c>
      <c r="F2" s="26" t="s">
        <v>69</v>
      </c>
    </row>
    <row r="3" spans="1:6" x14ac:dyDescent="0.35">
      <c r="A3" s="27">
        <v>30</v>
      </c>
      <c r="B3" s="27" t="s">
        <v>70</v>
      </c>
      <c r="C3" s="28" t="s">
        <v>71</v>
      </c>
      <c r="D3" s="28">
        <v>1</v>
      </c>
      <c r="E3" s="28" t="s">
        <v>72</v>
      </c>
      <c r="F3" s="28">
        <v>0</v>
      </c>
    </row>
    <row r="4" spans="1:6" x14ac:dyDescent="0.35">
      <c r="A4" s="27">
        <v>46052</v>
      </c>
      <c r="B4" s="27" t="s">
        <v>70</v>
      </c>
      <c r="C4" s="28" t="s">
        <v>71</v>
      </c>
      <c r="D4" s="28">
        <v>1</v>
      </c>
      <c r="E4" s="28" t="s">
        <v>73</v>
      </c>
      <c r="F4" s="28">
        <v>0</v>
      </c>
    </row>
    <row r="5" spans="1:6" x14ac:dyDescent="0.35">
      <c r="A5" s="27">
        <v>46052</v>
      </c>
      <c r="B5" s="27" t="s">
        <v>74</v>
      </c>
      <c r="C5" s="28" t="s">
        <v>75</v>
      </c>
      <c r="D5" s="28">
        <v>1</v>
      </c>
      <c r="E5" s="28" t="s">
        <v>76</v>
      </c>
      <c r="F5" s="28">
        <v>0</v>
      </c>
    </row>
    <row r="6" spans="1:6" x14ac:dyDescent="0.35">
      <c r="A6" s="27">
        <v>46052</v>
      </c>
      <c r="B6" s="27" t="s">
        <v>77</v>
      </c>
      <c r="C6" s="28" t="s">
        <v>75</v>
      </c>
      <c r="D6" s="28">
        <v>1</v>
      </c>
      <c r="E6" s="28" t="s">
        <v>78</v>
      </c>
      <c r="F6" s="28">
        <v>0</v>
      </c>
    </row>
    <row r="7" spans="1:6" x14ac:dyDescent="0.35">
      <c r="A7" s="27">
        <v>46052</v>
      </c>
      <c r="B7" s="27" t="s">
        <v>79</v>
      </c>
      <c r="C7" s="28" t="s">
        <v>80</v>
      </c>
      <c r="D7" s="28">
        <v>1</v>
      </c>
      <c r="E7" s="28" t="s">
        <v>81</v>
      </c>
      <c r="F7" s="28">
        <v>0</v>
      </c>
    </row>
    <row r="8" spans="1:6" x14ac:dyDescent="0.35">
      <c r="A8" s="27">
        <v>46052</v>
      </c>
      <c r="B8" s="27" t="s">
        <v>79</v>
      </c>
      <c r="C8" s="28" t="s">
        <v>82</v>
      </c>
      <c r="D8" s="28">
        <v>1</v>
      </c>
      <c r="E8" s="28" t="s">
        <v>83</v>
      </c>
      <c r="F8" s="28">
        <v>0</v>
      </c>
    </row>
    <row r="9" spans="1:6" x14ac:dyDescent="0.35">
      <c r="A9" s="27">
        <v>46078</v>
      </c>
      <c r="B9" s="27" t="s">
        <v>84</v>
      </c>
      <c r="C9" s="28" t="s">
        <v>71</v>
      </c>
      <c r="D9" s="28">
        <v>1</v>
      </c>
      <c r="E9" s="28" t="s">
        <v>85</v>
      </c>
      <c r="F9" s="28">
        <v>0</v>
      </c>
    </row>
    <row r="10" spans="1:6" x14ac:dyDescent="0.35">
      <c r="A10" s="27">
        <v>46078</v>
      </c>
      <c r="B10" s="27" t="s">
        <v>84</v>
      </c>
      <c r="C10" s="28" t="s">
        <v>71</v>
      </c>
      <c r="D10" s="28">
        <v>1</v>
      </c>
      <c r="E10" s="28" t="s">
        <v>86</v>
      </c>
      <c r="F10" s="28">
        <v>0</v>
      </c>
    </row>
    <row r="11" spans="1:6" x14ac:dyDescent="0.35">
      <c r="A11" s="27">
        <v>46078</v>
      </c>
      <c r="B11" s="27" t="s">
        <v>87</v>
      </c>
      <c r="C11" s="28" t="s">
        <v>88</v>
      </c>
      <c r="D11" s="28">
        <v>1</v>
      </c>
      <c r="E11" s="28" t="s">
        <v>89</v>
      </c>
      <c r="F11" s="28">
        <v>0</v>
      </c>
    </row>
    <row r="12" spans="1:6" x14ac:dyDescent="0.35">
      <c r="A12" s="27">
        <v>46078</v>
      </c>
      <c r="B12" s="27" t="s">
        <v>87</v>
      </c>
      <c r="C12" s="28" t="s">
        <v>88</v>
      </c>
      <c r="D12" s="28">
        <v>1</v>
      </c>
      <c r="E12" s="28" t="s">
        <v>90</v>
      </c>
      <c r="F12" s="28">
        <v>0</v>
      </c>
    </row>
    <row r="13" spans="1:6" x14ac:dyDescent="0.35">
      <c r="A13" s="27">
        <v>46078</v>
      </c>
      <c r="B13" s="27" t="s">
        <v>91</v>
      </c>
      <c r="C13" s="28" t="s">
        <v>92</v>
      </c>
      <c r="D13" s="28">
        <v>1</v>
      </c>
      <c r="E13" s="28" t="s">
        <v>93</v>
      </c>
      <c r="F13" s="28">
        <v>0</v>
      </c>
    </row>
    <row r="14" spans="1:6" x14ac:dyDescent="0.35">
      <c r="A14" s="27">
        <v>46078</v>
      </c>
      <c r="B14" s="27" t="s">
        <v>91</v>
      </c>
      <c r="C14" s="28" t="s">
        <v>92</v>
      </c>
      <c r="D14" s="28">
        <v>1</v>
      </c>
      <c r="E14" s="28" t="s">
        <v>94</v>
      </c>
      <c r="F14" s="28">
        <v>0</v>
      </c>
    </row>
    <row r="15" spans="1:6" x14ac:dyDescent="0.35">
      <c r="A15" s="27">
        <v>46078</v>
      </c>
      <c r="B15" s="27" t="s">
        <v>95</v>
      </c>
      <c r="C15" s="28" t="s">
        <v>96</v>
      </c>
      <c r="D15" s="28">
        <v>1</v>
      </c>
      <c r="E15" s="28" t="s">
        <v>97</v>
      </c>
      <c r="F15" s="28">
        <v>0</v>
      </c>
    </row>
    <row r="16" spans="1:6" x14ac:dyDescent="0.35">
      <c r="A16" s="27">
        <v>46078</v>
      </c>
      <c r="B16" s="27" t="s">
        <v>95</v>
      </c>
      <c r="C16" s="28" t="s">
        <v>96</v>
      </c>
      <c r="D16" s="28">
        <v>1</v>
      </c>
      <c r="E16" s="28" t="s">
        <v>98</v>
      </c>
      <c r="F16" s="28">
        <v>0</v>
      </c>
    </row>
    <row r="17" spans="1:6" x14ac:dyDescent="0.35">
      <c r="A17" s="27">
        <v>46079</v>
      </c>
      <c r="B17" s="27" t="s">
        <v>99</v>
      </c>
      <c r="C17" s="28" t="s">
        <v>100</v>
      </c>
      <c r="D17" s="28">
        <v>1</v>
      </c>
      <c r="E17" s="28" t="s">
        <v>101</v>
      </c>
      <c r="F17" s="28">
        <v>0</v>
      </c>
    </row>
    <row r="18" spans="1:6" x14ac:dyDescent="0.35">
      <c r="A18" s="27">
        <v>46079</v>
      </c>
      <c r="B18" s="27" t="s">
        <v>102</v>
      </c>
      <c r="C18" s="28" t="s">
        <v>100</v>
      </c>
      <c r="D18" s="28">
        <v>1</v>
      </c>
      <c r="E18" s="28" t="s">
        <v>103</v>
      </c>
      <c r="F18" s="28">
        <v>0</v>
      </c>
    </row>
    <row r="19" spans="1:6" x14ac:dyDescent="0.35">
      <c r="A19" s="29">
        <v>46111</v>
      </c>
      <c r="B19" s="27" t="s">
        <v>104</v>
      </c>
      <c r="C19" s="30" t="s">
        <v>71</v>
      </c>
      <c r="D19" s="28">
        <v>1</v>
      </c>
      <c r="E19" s="31" t="s">
        <v>105</v>
      </c>
      <c r="F19" s="28">
        <v>0</v>
      </c>
    </row>
    <row r="20" spans="1:6" ht="29" x14ac:dyDescent="0.35">
      <c r="A20" s="26" t="s">
        <v>106</v>
      </c>
      <c r="B20" s="27" t="s">
        <v>104</v>
      </c>
      <c r="C20" s="30" t="s">
        <v>71</v>
      </c>
      <c r="D20" s="28">
        <v>1</v>
      </c>
      <c r="E20" s="31" t="s">
        <v>107</v>
      </c>
      <c r="F20" s="28">
        <v>0</v>
      </c>
    </row>
    <row r="21" spans="1:6" x14ac:dyDescent="0.35">
      <c r="A21" s="29">
        <v>46111</v>
      </c>
      <c r="B21" s="27" t="s">
        <v>108</v>
      </c>
      <c r="C21" s="28" t="s">
        <v>92</v>
      </c>
      <c r="D21" s="28">
        <v>1</v>
      </c>
      <c r="E21" s="26" t="s">
        <v>109</v>
      </c>
      <c r="F21" s="28">
        <v>0</v>
      </c>
    </row>
    <row r="22" spans="1:6" x14ac:dyDescent="0.35">
      <c r="A22" s="29">
        <v>46111</v>
      </c>
      <c r="B22" s="27" t="s">
        <v>108</v>
      </c>
      <c r="C22" s="28" t="s">
        <v>92</v>
      </c>
      <c r="D22" s="28">
        <v>1</v>
      </c>
      <c r="E22" s="26" t="s">
        <v>110</v>
      </c>
      <c r="F22" s="28">
        <v>0</v>
      </c>
    </row>
    <row r="23" spans="1:6" x14ac:dyDescent="0.35">
      <c r="A23" s="29">
        <v>46111</v>
      </c>
      <c r="B23" s="26" t="s">
        <v>111</v>
      </c>
      <c r="C23" s="28" t="s">
        <v>96</v>
      </c>
      <c r="D23" s="28">
        <v>1</v>
      </c>
      <c r="E23" s="31" t="s">
        <v>112</v>
      </c>
      <c r="F23" s="28">
        <v>0</v>
      </c>
    </row>
    <row r="24" spans="1:6" x14ac:dyDescent="0.35">
      <c r="A24" s="29">
        <v>46111</v>
      </c>
      <c r="B24" s="26" t="s">
        <v>111</v>
      </c>
      <c r="C24" s="28" t="s">
        <v>96</v>
      </c>
      <c r="D24" s="28">
        <v>1</v>
      </c>
      <c r="E24" s="26" t="s">
        <v>113</v>
      </c>
      <c r="F24" s="28">
        <v>0</v>
      </c>
    </row>
    <row r="25" spans="1:6" x14ac:dyDescent="0.35">
      <c r="A25" s="29">
        <v>46128</v>
      </c>
      <c r="B25" s="26" t="s">
        <v>114</v>
      </c>
      <c r="C25" s="30" t="s">
        <v>88</v>
      </c>
      <c r="D25" s="26">
        <v>1</v>
      </c>
      <c r="E25" s="26" t="s">
        <v>115</v>
      </c>
      <c r="F25" s="28">
        <v>0</v>
      </c>
    </row>
    <row r="26" spans="1:6" x14ac:dyDescent="0.35">
      <c r="A26" s="29">
        <v>46128</v>
      </c>
      <c r="B26" s="26" t="s">
        <v>114</v>
      </c>
      <c r="C26" s="30" t="s">
        <v>88</v>
      </c>
      <c r="D26" s="26">
        <v>1</v>
      </c>
      <c r="E26" s="26" t="s">
        <v>116</v>
      </c>
      <c r="F26" s="28">
        <v>0</v>
      </c>
    </row>
    <row r="27" spans="1:6" x14ac:dyDescent="0.35">
      <c r="A27" s="29">
        <v>46128</v>
      </c>
      <c r="B27" s="26" t="s">
        <v>117</v>
      </c>
      <c r="C27" s="30" t="s">
        <v>92</v>
      </c>
      <c r="D27" s="26">
        <v>1</v>
      </c>
      <c r="E27" s="26" t="s">
        <v>118</v>
      </c>
      <c r="F27" s="28">
        <v>0</v>
      </c>
    </row>
    <row r="28" spans="1:6" x14ac:dyDescent="0.35">
      <c r="A28" s="29">
        <v>46128</v>
      </c>
      <c r="B28" s="26" t="s">
        <v>117</v>
      </c>
      <c r="C28" s="30" t="s">
        <v>92</v>
      </c>
      <c r="D28" s="26">
        <v>1</v>
      </c>
      <c r="E28" s="26" t="s">
        <v>119</v>
      </c>
      <c r="F28" s="28">
        <v>0</v>
      </c>
    </row>
    <row r="29" spans="1:6" x14ac:dyDescent="0.35">
      <c r="A29" s="29">
        <v>46128</v>
      </c>
      <c r="B29" s="26" t="s">
        <v>120</v>
      </c>
      <c r="C29" s="30" t="s">
        <v>71</v>
      </c>
      <c r="D29" s="26">
        <v>1</v>
      </c>
      <c r="E29" s="26" t="s">
        <v>121</v>
      </c>
      <c r="F29" s="28">
        <v>0</v>
      </c>
    </row>
    <row r="30" spans="1:6" x14ac:dyDescent="0.35">
      <c r="A30" s="29">
        <v>46128</v>
      </c>
      <c r="B30" s="26" t="s">
        <v>120</v>
      </c>
      <c r="C30" s="30" t="s">
        <v>71</v>
      </c>
      <c r="D30" s="26">
        <v>1</v>
      </c>
      <c r="E30" s="26" t="s">
        <v>122</v>
      </c>
      <c r="F30" s="28">
        <v>0</v>
      </c>
    </row>
    <row r="31" spans="1:6" x14ac:dyDescent="0.35">
      <c r="A31" s="29">
        <v>46128</v>
      </c>
      <c r="B31" s="26" t="s">
        <v>123</v>
      </c>
      <c r="C31" s="26" t="s">
        <v>96</v>
      </c>
      <c r="D31" s="26">
        <v>1</v>
      </c>
      <c r="E31" s="26" t="s">
        <v>124</v>
      </c>
      <c r="F31" s="26">
        <v>0</v>
      </c>
    </row>
    <row r="32" spans="1:6" x14ac:dyDescent="0.35">
      <c r="A32" s="29">
        <v>46128</v>
      </c>
      <c r="B32" s="26" t="s">
        <v>123</v>
      </c>
      <c r="C32" s="26" t="s">
        <v>96</v>
      </c>
      <c r="D32" s="26">
        <v>1</v>
      </c>
      <c r="E32" s="26" t="s">
        <v>125</v>
      </c>
      <c r="F32" s="26">
        <v>0</v>
      </c>
    </row>
    <row r="33" spans="1:6" x14ac:dyDescent="0.35">
      <c r="A33" s="29">
        <v>46155</v>
      </c>
      <c r="B33" s="26" t="s">
        <v>126</v>
      </c>
      <c r="C33" s="28" t="s">
        <v>82</v>
      </c>
      <c r="D33" s="26">
        <v>1</v>
      </c>
      <c r="E33" s="26" t="s">
        <v>127</v>
      </c>
      <c r="F33" s="26">
        <v>0</v>
      </c>
    </row>
    <row r="34" spans="1:6" x14ac:dyDescent="0.35">
      <c r="A34" s="29">
        <v>46155</v>
      </c>
      <c r="B34" s="26" t="s">
        <v>126</v>
      </c>
      <c r="C34" s="28" t="s">
        <v>82</v>
      </c>
      <c r="D34" s="26">
        <v>1</v>
      </c>
      <c r="E34" s="26" t="s">
        <v>128</v>
      </c>
      <c r="F34" s="26">
        <v>0</v>
      </c>
    </row>
    <row r="35" spans="1:6" x14ac:dyDescent="0.35">
      <c r="A35" s="29">
        <v>46155</v>
      </c>
      <c r="B35" s="26" t="s">
        <v>129</v>
      </c>
      <c r="C35" s="30" t="s">
        <v>88</v>
      </c>
      <c r="D35" s="26">
        <v>1</v>
      </c>
      <c r="E35" s="26" t="s">
        <v>130</v>
      </c>
      <c r="F35" s="26">
        <v>0</v>
      </c>
    </row>
    <row r="36" spans="1:6" x14ac:dyDescent="0.35">
      <c r="A36" s="29">
        <v>46155</v>
      </c>
      <c r="B36" s="26" t="s">
        <v>129</v>
      </c>
      <c r="C36" s="30" t="s">
        <v>88</v>
      </c>
      <c r="D36" s="26">
        <v>1</v>
      </c>
      <c r="E36" s="26" t="s">
        <v>131</v>
      </c>
      <c r="F36" s="26">
        <v>0</v>
      </c>
    </row>
    <row r="37" spans="1:6" x14ac:dyDescent="0.35">
      <c r="A37" s="29">
        <v>46155</v>
      </c>
      <c r="B37" s="27" t="s">
        <v>132</v>
      </c>
      <c r="C37" s="26" t="s">
        <v>96</v>
      </c>
      <c r="D37" s="26">
        <v>1</v>
      </c>
      <c r="E37" s="26" t="s">
        <v>133</v>
      </c>
      <c r="F37" s="26">
        <v>0</v>
      </c>
    </row>
    <row r="38" spans="1:6" x14ac:dyDescent="0.35">
      <c r="A38" s="29">
        <v>46155</v>
      </c>
      <c r="B38" s="27" t="s">
        <v>132</v>
      </c>
      <c r="C38" s="26" t="s">
        <v>96</v>
      </c>
      <c r="D38" s="26">
        <v>1</v>
      </c>
      <c r="E38" s="26" t="s">
        <v>134</v>
      </c>
      <c r="F38" s="26">
        <v>0</v>
      </c>
    </row>
    <row r="39" spans="1:6" x14ac:dyDescent="0.35">
      <c r="A39" s="29">
        <v>46155</v>
      </c>
      <c r="B39" s="26" t="s">
        <v>135</v>
      </c>
      <c r="C39" s="30" t="s">
        <v>71</v>
      </c>
      <c r="D39" s="26">
        <v>1</v>
      </c>
      <c r="E39" s="26" t="s">
        <v>136</v>
      </c>
      <c r="F39" s="26">
        <v>0</v>
      </c>
    </row>
    <row r="40" spans="1:6" x14ac:dyDescent="0.35">
      <c r="A40" s="29">
        <v>46155</v>
      </c>
      <c r="B40" s="26" t="s">
        <v>135</v>
      </c>
      <c r="C40" s="30" t="s">
        <v>71</v>
      </c>
      <c r="D40" s="26">
        <v>1</v>
      </c>
      <c r="E40" s="26" t="s">
        <v>137</v>
      </c>
      <c r="F40" s="26">
        <v>0</v>
      </c>
    </row>
    <row r="41" spans="1:6" x14ac:dyDescent="0.35">
      <c r="A41" s="29">
        <v>46156</v>
      </c>
      <c r="B41" s="26" t="s">
        <v>138</v>
      </c>
      <c r="C41" s="26" t="s">
        <v>100</v>
      </c>
      <c r="D41" s="26">
        <v>1</v>
      </c>
      <c r="E41" s="26" t="s">
        <v>139</v>
      </c>
      <c r="F41" s="26">
        <v>0</v>
      </c>
    </row>
    <row r="42" spans="1:6" x14ac:dyDescent="0.35">
      <c r="A42" s="29">
        <v>46156</v>
      </c>
      <c r="B42" s="26" t="s">
        <v>138</v>
      </c>
      <c r="C42" s="26" t="s">
        <v>100</v>
      </c>
      <c r="D42" s="26">
        <v>1</v>
      </c>
      <c r="E42" s="26" t="s">
        <v>140</v>
      </c>
      <c r="F42" s="26">
        <v>0</v>
      </c>
    </row>
    <row r="43" spans="1:6" x14ac:dyDescent="0.35">
      <c r="A43" s="29">
        <v>46155</v>
      </c>
      <c r="B43" s="32" t="s">
        <v>141</v>
      </c>
      <c r="C43" s="32" t="s">
        <v>142</v>
      </c>
      <c r="D43" s="26">
        <v>2</v>
      </c>
      <c r="E43" s="26" t="s">
        <v>143</v>
      </c>
      <c r="F43" s="26">
        <v>1</v>
      </c>
    </row>
    <row r="44" spans="1:6" x14ac:dyDescent="0.35">
      <c r="A44" s="29">
        <v>46155</v>
      </c>
      <c r="B44" s="26" t="s">
        <v>144</v>
      </c>
      <c r="C44" s="26" t="s">
        <v>145</v>
      </c>
      <c r="D44" s="26">
        <v>2</v>
      </c>
      <c r="E44" s="26" t="s">
        <v>146</v>
      </c>
      <c r="F44" s="26">
        <v>0</v>
      </c>
    </row>
    <row r="45" spans="1:6" x14ac:dyDescent="0.35">
      <c r="A45" s="29">
        <v>46155</v>
      </c>
      <c r="B45" s="26" t="s">
        <v>147</v>
      </c>
      <c r="C45" s="26" t="s">
        <v>142</v>
      </c>
      <c r="D45" s="26">
        <v>2</v>
      </c>
      <c r="E45" s="26" t="s">
        <v>148</v>
      </c>
      <c r="F45" s="26">
        <v>0</v>
      </c>
    </row>
    <row r="46" spans="1:6" x14ac:dyDescent="0.35">
      <c r="A46" s="29">
        <v>46155</v>
      </c>
      <c r="B46" s="26" t="s">
        <v>149</v>
      </c>
      <c r="C46" s="26" t="s">
        <v>146</v>
      </c>
      <c r="D46" s="26">
        <v>2</v>
      </c>
      <c r="E46" s="26" t="s">
        <v>146</v>
      </c>
      <c r="F46" s="26">
        <v>0</v>
      </c>
    </row>
    <row r="47" spans="1:6" x14ac:dyDescent="0.35">
      <c r="A47" s="29">
        <v>46155</v>
      </c>
      <c r="B47" s="26" t="s">
        <v>150</v>
      </c>
      <c r="C47" s="26" t="s">
        <v>146</v>
      </c>
      <c r="D47" s="26">
        <v>2</v>
      </c>
      <c r="E47" s="26" t="s">
        <v>146</v>
      </c>
      <c r="F47" s="26">
        <v>0</v>
      </c>
    </row>
    <row r="48" spans="1:6" x14ac:dyDescent="0.35">
      <c r="A48" s="29">
        <v>46155</v>
      </c>
      <c r="B48" s="26" t="s">
        <v>151</v>
      </c>
      <c r="C48" s="26" t="s">
        <v>152</v>
      </c>
      <c r="D48" s="26">
        <v>2</v>
      </c>
      <c r="E48" s="26" t="s">
        <v>146</v>
      </c>
      <c r="F48" s="26">
        <v>0</v>
      </c>
    </row>
    <row r="49" spans="1:6" x14ac:dyDescent="0.35">
      <c r="A49" s="29">
        <v>46155</v>
      </c>
      <c r="B49" s="26" t="s">
        <v>153</v>
      </c>
      <c r="C49" s="26" t="s">
        <v>152</v>
      </c>
      <c r="D49" s="26">
        <v>2</v>
      </c>
      <c r="E49" s="26" t="s">
        <v>146</v>
      </c>
      <c r="F49" s="26">
        <v>0</v>
      </c>
    </row>
    <row r="50" spans="1:6" x14ac:dyDescent="0.35">
      <c r="A50" s="29">
        <v>46155</v>
      </c>
      <c r="B50" s="26" t="s">
        <v>154</v>
      </c>
      <c r="C50" s="26" t="s">
        <v>155</v>
      </c>
      <c r="D50" s="26">
        <v>3</v>
      </c>
      <c r="E50" s="26" t="s">
        <v>155</v>
      </c>
      <c r="F50" s="26">
        <v>0</v>
      </c>
    </row>
    <row r="51" spans="1:6" x14ac:dyDescent="0.35">
      <c r="A51" s="29">
        <v>46155</v>
      </c>
      <c r="B51" s="26" t="s">
        <v>156</v>
      </c>
      <c r="C51" s="26" t="s">
        <v>157</v>
      </c>
      <c r="D51" s="26">
        <v>3</v>
      </c>
      <c r="E51" s="26" t="s">
        <v>158</v>
      </c>
      <c r="F51" s="26">
        <v>0</v>
      </c>
    </row>
    <row r="52" spans="1:6" x14ac:dyDescent="0.35">
      <c r="A52" s="29">
        <v>46155</v>
      </c>
      <c r="B52" s="26" t="s">
        <v>159</v>
      </c>
      <c r="C52" s="26" t="s">
        <v>160</v>
      </c>
      <c r="D52" s="26">
        <v>3</v>
      </c>
      <c r="E52" s="26" t="s">
        <v>160</v>
      </c>
      <c r="F52" s="26">
        <v>0</v>
      </c>
    </row>
    <row r="53" spans="1:6" x14ac:dyDescent="0.35">
      <c r="A53" s="29">
        <v>46155</v>
      </c>
      <c r="B53" s="26" t="s">
        <v>161</v>
      </c>
      <c r="C53" s="26" t="s">
        <v>162</v>
      </c>
      <c r="D53" s="26">
        <v>3</v>
      </c>
      <c r="E53" s="26" t="s">
        <v>163</v>
      </c>
      <c r="F53" s="26">
        <v>0</v>
      </c>
    </row>
    <row r="54" spans="1:6" x14ac:dyDescent="0.35">
      <c r="A54" s="29">
        <v>46155</v>
      </c>
      <c r="B54" s="26" t="s">
        <v>164</v>
      </c>
      <c r="C54" s="26" t="s">
        <v>165</v>
      </c>
      <c r="D54" s="26">
        <v>3</v>
      </c>
      <c r="E54" s="26" t="s">
        <v>166</v>
      </c>
      <c r="F54" s="26">
        <v>0</v>
      </c>
    </row>
    <row r="55" spans="1:6" x14ac:dyDescent="0.35">
      <c r="A55" s="29">
        <v>46155</v>
      </c>
      <c r="B55" s="26" t="s">
        <v>167</v>
      </c>
      <c r="C55" s="26" t="s">
        <v>145</v>
      </c>
      <c r="D55" s="26">
        <v>3</v>
      </c>
      <c r="E55" s="26" t="s">
        <v>158</v>
      </c>
      <c r="F55" s="26">
        <v>1</v>
      </c>
    </row>
    <row r="56" spans="1:6" x14ac:dyDescent="0.35">
      <c r="A56" s="29">
        <v>46155</v>
      </c>
      <c r="B56" s="26" t="s">
        <v>168</v>
      </c>
      <c r="C56" s="26" t="s">
        <v>169</v>
      </c>
      <c r="D56" s="26">
        <v>3</v>
      </c>
      <c r="E56" s="26" t="s">
        <v>169</v>
      </c>
      <c r="F56" s="26">
        <v>0</v>
      </c>
    </row>
    <row r="57" spans="1:6" x14ac:dyDescent="0.35">
      <c r="A57" s="29">
        <v>46155</v>
      </c>
      <c r="B57" s="26" t="s">
        <v>170</v>
      </c>
      <c r="C57" s="26" t="s">
        <v>169</v>
      </c>
      <c r="D57" s="26">
        <v>3</v>
      </c>
      <c r="E57" s="26" t="s">
        <v>169</v>
      </c>
      <c r="F57" s="26">
        <v>0</v>
      </c>
    </row>
    <row r="58" spans="1:6" x14ac:dyDescent="0.35">
      <c r="A58" s="29">
        <v>46155</v>
      </c>
      <c r="B58" s="26" t="s">
        <v>171</v>
      </c>
      <c r="C58" s="26" t="s">
        <v>172</v>
      </c>
      <c r="D58" s="26">
        <v>3</v>
      </c>
      <c r="E58" s="26" t="s">
        <v>172</v>
      </c>
      <c r="F58" s="26">
        <v>1</v>
      </c>
    </row>
    <row r="59" spans="1:6" x14ac:dyDescent="0.35">
      <c r="A59" s="29">
        <v>46155</v>
      </c>
      <c r="B59" s="26" t="s">
        <v>173</v>
      </c>
      <c r="C59" s="26" t="s">
        <v>174</v>
      </c>
      <c r="D59" s="26">
        <v>4</v>
      </c>
      <c r="E59" s="26" t="s">
        <v>174</v>
      </c>
      <c r="F59" s="26">
        <v>0</v>
      </c>
    </row>
    <row r="60" spans="1:6" x14ac:dyDescent="0.35">
      <c r="A60" s="29">
        <v>46163</v>
      </c>
      <c r="B60" s="26" t="s">
        <v>175</v>
      </c>
      <c r="C60" s="26" t="s">
        <v>142</v>
      </c>
      <c r="D60" s="26">
        <v>2</v>
      </c>
      <c r="E60" s="26" t="s">
        <v>175</v>
      </c>
      <c r="F60" s="26">
        <v>0</v>
      </c>
    </row>
    <row r="61" spans="1:6" x14ac:dyDescent="0.35">
      <c r="A61" s="29">
        <v>46163</v>
      </c>
      <c r="B61" s="26" t="s">
        <v>176</v>
      </c>
      <c r="C61" s="26" t="s">
        <v>157</v>
      </c>
      <c r="D61" s="26">
        <v>3</v>
      </c>
      <c r="E61" s="26" t="s">
        <v>176</v>
      </c>
      <c r="F61" s="26">
        <v>0</v>
      </c>
    </row>
    <row r="62" spans="1:6" x14ac:dyDescent="0.35">
      <c r="A62" s="29">
        <v>46163</v>
      </c>
      <c r="B62" s="26" t="s">
        <v>177</v>
      </c>
      <c r="C62" s="26" t="s">
        <v>178</v>
      </c>
      <c r="D62" s="26">
        <v>3</v>
      </c>
      <c r="E62" s="26" t="s">
        <v>177</v>
      </c>
      <c r="F62" s="26">
        <v>0</v>
      </c>
    </row>
    <row r="63" spans="1:6" x14ac:dyDescent="0.35">
      <c r="A63" s="29">
        <v>46163</v>
      </c>
      <c r="B63" s="26" t="s">
        <v>179</v>
      </c>
      <c r="C63" s="26" t="s">
        <v>180</v>
      </c>
      <c r="D63" s="26">
        <v>3</v>
      </c>
      <c r="E63" s="26" t="s">
        <v>179</v>
      </c>
      <c r="F63" s="26">
        <v>0</v>
      </c>
    </row>
    <row r="64" spans="1:6" x14ac:dyDescent="0.35">
      <c r="A64" s="29">
        <v>46163</v>
      </c>
      <c r="B64" s="26" t="s">
        <v>181</v>
      </c>
      <c r="C64" s="26" t="s">
        <v>180</v>
      </c>
      <c r="D64" s="26">
        <v>3</v>
      </c>
      <c r="E64" s="26" t="s">
        <v>181</v>
      </c>
      <c r="F64" s="26">
        <v>0</v>
      </c>
    </row>
    <row r="65" spans="1:6" x14ac:dyDescent="0.35">
      <c r="A65" s="29">
        <v>46163</v>
      </c>
      <c r="B65" s="26" t="s">
        <v>182</v>
      </c>
      <c r="C65" s="26" t="s">
        <v>157</v>
      </c>
      <c r="D65" s="26">
        <v>3</v>
      </c>
      <c r="E65" s="26" t="s">
        <v>182</v>
      </c>
      <c r="F65" s="26">
        <v>0</v>
      </c>
    </row>
    <row r="66" spans="1:6" x14ac:dyDescent="0.35">
      <c r="A66" s="29">
        <v>46164</v>
      </c>
      <c r="B66" s="26" t="s">
        <v>183</v>
      </c>
      <c r="C66" s="26" t="s">
        <v>142</v>
      </c>
      <c r="D66" s="26">
        <v>2</v>
      </c>
      <c r="E66" s="26" t="s">
        <v>183</v>
      </c>
      <c r="F66" s="26">
        <v>0</v>
      </c>
    </row>
    <row r="67" spans="1:6" x14ac:dyDescent="0.35">
      <c r="A67" s="29">
        <v>46164</v>
      </c>
      <c r="B67" s="26" t="s">
        <v>184</v>
      </c>
      <c r="C67" s="26" t="s">
        <v>157</v>
      </c>
      <c r="D67" s="26">
        <v>3</v>
      </c>
      <c r="E67" s="26" t="s">
        <v>184</v>
      </c>
      <c r="F67" s="26">
        <v>0</v>
      </c>
    </row>
    <row r="68" spans="1:6" x14ac:dyDescent="0.35">
      <c r="A68" s="29">
        <v>46164</v>
      </c>
      <c r="B68" s="26" t="s">
        <v>185</v>
      </c>
      <c r="C68" s="26" t="s">
        <v>178</v>
      </c>
      <c r="D68" s="26">
        <v>3</v>
      </c>
      <c r="E68" s="26" t="s">
        <v>185</v>
      </c>
      <c r="F68" s="26">
        <v>0</v>
      </c>
    </row>
    <row r="69" spans="1:6" x14ac:dyDescent="0.35">
      <c r="A69" s="29">
        <v>46168</v>
      </c>
      <c r="B69" s="26" t="s">
        <v>186</v>
      </c>
      <c r="C69" s="26" t="s">
        <v>142</v>
      </c>
      <c r="D69" s="26">
        <v>2</v>
      </c>
      <c r="E69" s="26" t="s">
        <v>186</v>
      </c>
      <c r="F69" s="26">
        <v>0</v>
      </c>
    </row>
    <row r="70" spans="1:6" x14ac:dyDescent="0.35">
      <c r="A70" s="29">
        <v>46168</v>
      </c>
      <c r="B70" s="26" t="s">
        <v>187</v>
      </c>
      <c r="C70" s="26" t="s">
        <v>157</v>
      </c>
      <c r="D70" s="26">
        <v>3</v>
      </c>
      <c r="E70" s="26" t="s">
        <v>187</v>
      </c>
      <c r="F70" s="26">
        <v>0</v>
      </c>
    </row>
    <row r="71" spans="1:6" x14ac:dyDescent="0.35">
      <c r="A71" s="29">
        <v>46168</v>
      </c>
      <c r="B71" s="26" t="s">
        <v>188</v>
      </c>
      <c r="C71" s="26" t="s">
        <v>178</v>
      </c>
      <c r="D71" s="26">
        <v>3</v>
      </c>
      <c r="E71" s="26" t="s">
        <v>188</v>
      </c>
      <c r="F71" s="26">
        <v>0</v>
      </c>
    </row>
    <row r="72" spans="1:6" x14ac:dyDescent="0.35">
      <c r="A72" s="29">
        <v>46190</v>
      </c>
      <c r="B72" s="26" t="s">
        <v>189</v>
      </c>
      <c r="C72" s="26" t="s">
        <v>82</v>
      </c>
      <c r="D72" s="26">
        <v>1</v>
      </c>
      <c r="E72" s="26" t="s">
        <v>190</v>
      </c>
      <c r="F72" s="26">
        <v>0</v>
      </c>
    </row>
    <row r="73" spans="1:6" x14ac:dyDescent="0.35">
      <c r="A73" s="29">
        <v>46190</v>
      </c>
      <c r="B73" s="26" t="s">
        <v>189</v>
      </c>
      <c r="C73" s="26" t="s">
        <v>82</v>
      </c>
      <c r="D73" s="26">
        <v>1</v>
      </c>
      <c r="E73" s="26" t="s">
        <v>191</v>
      </c>
      <c r="F73" s="26">
        <v>0</v>
      </c>
    </row>
    <row r="74" spans="1:6" x14ac:dyDescent="0.35">
      <c r="A74" s="29">
        <v>46190</v>
      </c>
      <c r="B74" s="26" t="s">
        <v>192</v>
      </c>
      <c r="C74" s="26" t="s">
        <v>96</v>
      </c>
      <c r="D74" s="26">
        <v>1</v>
      </c>
      <c r="E74" s="26" t="s">
        <v>193</v>
      </c>
      <c r="F74" s="26">
        <v>0</v>
      </c>
    </row>
    <row r="75" spans="1:6" x14ac:dyDescent="0.35">
      <c r="A75" s="29">
        <v>46190</v>
      </c>
      <c r="B75" s="26" t="s">
        <v>192</v>
      </c>
      <c r="C75" s="26" t="s">
        <v>96</v>
      </c>
      <c r="D75" s="26">
        <v>1</v>
      </c>
      <c r="E75" s="26" t="s">
        <v>194</v>
      </c>
      <c r="F75" s="26">
        <v>0</v>
      </c>
    </row>
    <row r="76" spans="1:6" x14ac:dyDescent="0.35">
      <c r="A76" s="29">
        <v>46191</v>
      </c>
      <c r="B76" s="26" t="s">
        <v>195</v>
      </c>
      <c r="C76" s="26" t="s">
        <v>196</v>
      </c>
      <c r="D76" s="26">
        <v>1</v>
      </c>
      <c r="E76" s="26" t="s">
        <v>197</v>
      </c>
      <c r="F76" s="26">
        <v>0</v>
      </c>
    </row>
    <row r="77" spans="1:6" x14ac:dyDescent="0.35">
      <c r="A77" s="29">
        <v>46191</v>
      </c>
      <c r="B77" s="26" t="s">
        <v>195</v>
      </c>
      <c r="C77" s="26" t="s">
        <v>196</v>
      </c>
      <c r="D77" s="26">
        <v>1</v>
      </c>
      <c r="E77" s="26" t="s">
        <v>198</v>
      </c>
      <c r="F77" s="26">
        <v>0</v>
      </c>
    </row>
    <row r="78" spans="1:6" x14ac:dyDescent="0.35">
      <c r="A78" s="29">
        <v>46191</v>
      </c>
      <c r="B78" s="26" t="s">
        <v>199</v>
      </c>
      <c r="C78" s="30" t="s">
        <v>88</v>
      </c>
      <c r="D78" s="26">
        <v>1</v>
      </c>
      <c r="E78" s="26" t="s">
        <v>200</v>
      </c>
      <c r="F78" s="26">
        <v>0</v>
      </c>
    </row>
    <row r="79" spans="1:6" x14ac:dyDescent="0.35">
      <c r="A79" s="29">
        <v>46191</v>
      </c>
      <c r="B79" s="26" t="s">
        <v>199</v>
      </c>
      <c r="C79" s="30" t="s">
        <v>88</v>
      </c>
      <c r="D79" s="26">
        <v>1</v>
      </c>
      <c r="E79" s="26" t="s">
        <v>201</v>
      </c>
      <c r="F79" s="26">
        <v>0</v>
      </c>
    </row>
    <row r="80" spans="1:6" x14ac:dyDescent="0.35">
      <c r="A80" s="29">
        <v>46191</v>
      </c>
      <c r="B80" s="26" t="s">
        <v>202</v>
      </c>
      <c r="C80" s="30" t="s">
        <v>71</v>
      </c>
      <c r="D80" s="26">
        <v>1</v>
      </c>
      <c r="E80" s="26" t="s">
        <v>203</v>
      </c>
      <c r="F80" s="26">
        <v>0</v>
      </c>
    </row>
    <row r="81" spans="1:6" x14ac:dyDescent="0.35">
      <c r="A81" s="29">
        <v>46191</v>
      </c>
      <c r="B81" s="26" t="s">
        <v>202</v>
      </c>
      <c r="C81" s="30" t="s">
        <v>71</v>
      </c>
      <c r="D81" s="26">
        <v>1</v>
      </c>
      <c r="E81" s="26" t="s">
        <v>204</v>
      </c>
      <c r="F81" s="26">
        <v>0</v>
      </c>
    </row>
    <row r="82" spans="1:6" x14ac:dyDescent="0.35">
      <c r="A82" s="50">
        <v>46218</v>
      </c>
      <c r="B82" t="s">
        <v>205</v>
      </c>
      <c r="C82" t="s">
        <v>82</v>
      </c>
      <c r="D82">
        <v>1</v>
      </c>
      <c r="E82" t="s">
        <v>206</v>
      </c>
      <c r="F82" s="26">
        <v>0</v>
      </c>
    </row>
    <row r="83" spans="1:6" x14ac:dyDescent="0.35">
      <c r="A83" s="50">
        <v>46218</v>
      </c>
      <c r="B83" t="s">
        <v>205</v>
      </c>
      <c r="C83" t="s">
        <v>82</v>
      </c>
      <c r="D83">
        <v>1</v>
      </c>
      <c r="E83" t="s">
        <v>207</v>
      </c>
      <c r="F83" s="26">
        <v>0</v>
      </c>
    </row>
    <row r="84" spans="1:6" x14ac:dyDescent="0.35">
      <c r="A84" s="50">
        <v>46218</v>
      </c>
      <c r="B84" t="s">
        <v>208</v>
      </c>
      <c r="C84" s="51" t="s">
        <v>71</v>
      </c>
      <c r="D84">
        <v>1</v>
      </c>
      <c r="E84" t="s">
        <v>209</v>
      </c>
      <c r="F84" s="26">
        <v>0</v>
      </c>
    </row>
    <row r="85" spans="1:6" x14ac:dyDescent="0.35">
      <c r="A85" s="50">
        <v>46218</v>
      </c>
      <c r="B85" t="s">
        <v>202</v>
      </c>
      <c r="C85" s="51" t="s">
        <v>71</v>
      </c>
      <c r="D85">
        <v>1</v>
      </c>
      <c r="E85" t="s">
        <v>210</v>
      </c>
      <c r="F85" s="26">
        <v>0</v>
      </c>
    </row>
    <row r="86" spans="1:6" x14ac:dyDescent="0.35">
      <c r="A86" s="50">
        <v>46218</v>
      </c>
      <c r="B86" t="s">
        <v>211</v>
      </c>
      <c r="C86" s="51" t="s">
        <v>88</v>
      </c>
      <c r="D86">
        <v>1</v>
      </c>
      <c r="E86" t="s">
        <v>212</v>
      </c>
      <c r="F86" s="26">
        <v>0</v>
      </c>
    </row>
    <row r="87" spans="1:6" x14ac:dyDescent="0.35">
      <c r="A87" s="50">
        <v>46218</v>
      </c>
      <c r="B87" t="s">
        <v>211</v>
      </c>
      <c r="C87" s="51" t="s">
        <v>88</v>
      </c>
      <c r="D87">
        <v>1</v>
      </c>
      <c r="E87" t="s">
        <v>213</v>
      </c>
      <c r="F87" s="26">
        <v>0</v>
      </c>
    </row>
    <row r="88" spans="1:6" x14ac:dyDescent="0.35">
      <c r="A88" s="50">
        <v>46239</v>
      </c>
      <c r="B88" t="s">
        <v>214</v>
      </c>
      <c r="C88" t="s">
        <v>196</v>
      </c>
      <c r="D88">
        <v>1</v>
      </c>
      <c r="E88" t="s">
        <v>215</v>
      </c>
      <c r="F88" s="26">
        <v>0</v>
      </c>
    </row>
    <row r="89" spans="1:6" x14ac:dyDescent="0.35">
      <c r="A89" s="50">
        <v>46239</v>
      </c>
      <c r="B89" t="s">
        <v>214</v>
      </c>
      <c r="C89" t="s">
        <v>196</v>
      </c>
      <c r="D89">
        <v>1</v>
      </c>
      <c r="E89" t="s">
        <v>216</v>
      </c>
      <c r="F89" s="26">
        <v>0</v>
      </c>
    </row>
    <row r="90" spans="1:6" x14ac:dyDescent="0.35">
      <c r="A90" s="50">
        <v>46239</v>
      </c>
      <c r="B90" t="s">
        <v>217</v>
      </c>
      <c r="C90" t="s">
        <v>96</v>
      </c>
      <c r="D90">
        <v>1</v>
      </c>
      <c r="E90" t="s">
        <v>218</v>
      </c>
      <c r="F90" s="26">
        <v>0</v>
      </c>
    </row>
    <row r="91" spans="1:6" x14ac:dyDescent="0.35">
      <c r="A91" s="50">
        <v>46239</v>
      </c>
      <c r="B91" t="s">
        <v>217</v>
      </c>
      <c r="C91" t="s">
        <v>96</v>
      </c>
      <c r="D91">
        <v>1</v>
      </c>
      <c r="E91" t="s">
        <v>219</v>
      </c>
      <c r="F91" s="26">
        <v>0</v>
      </c>
    </row>
    <row r="92" spans="1:6" x14ac:dyDescent="0.35">
      <c r="A92" s="50">
        <v>46253</v>
      </c>
      <c r="B92" t="s">
        <v>220</v>
      </c>
      <c r="C92" s="51" t="s">
        <v>71</v>
      </c>
      <c r="D92">
        <v>1</v>
      </c>
      <c r="E92" t="s">
        <v>221</v>
      </c>
      <c r="F92" s="26">
        <v>0</v>
      </c>
    </row>
    <row r="93" spans="1:6" x14ac:dyDescent="0.35">
      <c r="A93" s="50">
        <v>46253</v>
      </c>
      <c r="B93" t="s">
        <v>220</v>
      </c>
      <c r="C93" s="51" t="s">
        <v>71</v>
      </c>
      <c r="D93">
        <v>1</v>
      </c>
      <c r="E93" t="s">
        <v>222</v>
      </c>
      <c r="F93" s="26">
        <v>0</v>
      </c>
    </row>
    <row r="94" spans="1:6" x14ac:dyDescent="0.35">
      <c r="A94" s="50">
        <v>46253</v>
      </c>
      <c r="B94" t="s">
        <v>223</v>
      </c>
      <c r="C94" t="s">
        <v>196</v>
      </c>
      <c r="D94">
        <v>1</v>
      </c>
      <c r="E94" t="s">
        <v>224</v>
      </c>
      <c r="F94" s="26">
        <v>0</v>
      </c>
    </row>
    <row r="95" spans="1:6" x14ac:dyDescent="0.35">
      <c r="A95" s="50">
        <v>46253</v>
      </c>
      <c r="B95" t="s">
        <v>223</v>
      </c>
      <c r="C95" t="s">
        <v>196</v>
      </c>
      <c r="D95">
        <v>1</v>
      </c>
      <c r="E95" t="s">
        <v>225</v>
      </c>
      <c r="F95" s="26">
        <v>0</v>
      </c>
    </row>
    <row r="96" spans="1:6" x14ac:dyDescent="0.35">
      <c r="A96" s="50">
        <v>46253</v>
      </c>
      <c r="B96" t="s">
        <v>226</v>
      </c>
      <c r="C96" s="51" t="s">
        <v>88</v>
      </c>
      <c r="D96">
        <v>1</v>
      </c>
      <c r="E96" t="s">
        <v>227</v>
      </c>
      <c r="F96" s="26">
        <v>0</v>
      </c>
    </row>
    <row r="97" spans="1:6" x14ac:dyDescent="0.35">
      <c r="A97" s="50">
        <v>46253</v>
      </c>
      <c r="B97" t="s">
        <v>226</v>
      </c>
      <c r="C97" s="51" t="s">
        <v>88</v>
      </c>
      <c r="D97">
        <v>1</v>
      </c>
      <c r="E97" t="s">
        <v>228</v>
      </c>
      <c r="F97" s="26">
        <v>0</v>
      </c>
    </row>
    <row r="98" spans="1:6" x14ac:dyDescent="0.35">
      <c r="A98" s="50">
        <v>46253</v>
      </c>
      <c r="B98" t="s">
        <v>229</v>
      </c>
      <c r="C98" t="s">
        <v>82</v>
      </c>
      <c r="D98">
        <v>1</v>
      </c>
      <c r="E98" t="s">
        <v>230</v>
      </c>
      <c r="F98" s="26">
        <v>0</v>
      </c>
    </row>
    <row r="99" spans="1:6" x14ac:dyDescent="0.35">
      <c r="A99" s="50">
        <v>46253</v>
      </c>
      <c r="B99" t="s">
        <v>229</v>
      </c>
      <c r="C99" t="s">
        <v>82</v>
      </c>
      <c r="D99">
        <v>1</v>
      </c>
      <c r="E99" t="s">
        <v>231</v>
      </c>
      <c r="F99" s="26">
        <v>0</v>
      </c>
    </row>
    <row r="100" spans="1:6" x14ac:dyDescent="0.35">
      <c r="A100" s="50">
        <v>46254</v>
      </c>
      <c r="B100" t="s">
        <v>232</v>
      </c>
      <c r="C100" t="s">
        <v>96</v>
      </c>
      <c r="D100">
        <v>1</v>
      </c>
      <c r="E100" t="s">
        <v>233</v>
      </c>
      <c r="F100" s="26">
        <v>0</v>
      </c>
    </row>
    <row r="101" spans="1:6" x14ac:dyDescent="0.35">
      <c r="A101" s="50">
        <v>46254</v>
      </c>
      <c r="B101" t="s">
        <v>232</v>
      </c>
      <c r="C101" t="s">
        <v>96</v>
      </c>
      <c r="D101">
        <v>1</v>
      </c>
      <c r="E101" t="s">
        <v>234</v>
      </c>
      <c r="F101" s="26">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8C3C-950F-4263-ADD3-2955ED31AD5F}">
  <dimension ref="A1:N27"/>
  <sheetViews>
    <sheetView workbookViewId="0">
      <selection activeCell="J7" sqref="J7"/>
    </sheetView>
  </sheetViews>
  <sheetFormatPr defaultColWidth="8.7265625" defaultRowHeight="15.5" x14ac:dyDescent="0.35"/>
  <cols>
    <col min="1" max="1" width="8.7265625" style="24"/>
    <col min="2" max="2" width="11.7265625" style="24" customWidth="1"/>
    <col min="3" max="3" width="21.26953125" style="24" customWidth="1"/>
    <col min="4" max="4" width="10" style="24" customWidth="1"/>
    <col min="5" max="5" width="11.26953125" style="24" bestFit="1" customWidth="1"/>
    <col min="6" max="6" width="15.453125" style="24" bestFit="1" customWidth="1"/>
    <col min="7" max="16384" width="8.7265625" style="24"/>
  </cols>
  <sheetData>
    <row r="1" spans="1:14" x14ac:dyDescent="0.35">
      <c r="A1" s="24" t="s">
        <v>235</v>
      </c>
      <c r="B1" s="24" t="s">
        <v>236</v>
      </c>
      <c r="C1" s="25">
        <v>46050</v>
      </c>
      <c r="D1" s="25">
        <v>46078</v>
      </c>
      <c r="E1" s="25">
        <v>46111</v>
      </c>
      <c r="F1" s="24" t="s">
        <v>8</v>
      </c>
      <c r="G1" s="24" t="s">
        <v>9</v>
      </c>
      <c r="H1" s="24" t="s">
        <v>237</v>
      </c>
      <c r="I1" s="24" t="s">
        <v>238</v>
      </c>
      <c r="J1" s="24" t="s">
        <v>12</v>
      </c>
      <c r="K1" s="24" t="s">
        <v>13</v>
      </c>
      <c r="L1" s="24" t="s">
        <v>239</v>
      </c>
      <c r="M1" s="24" t="s">
        <v>15</v>
      </c>
      <c r="N1" s="24" t="s">
        <v>16</v>
      </c>
    </row>
    <row r="2" spans="1:14" x14ac:dyDescent="0.35">
      <c r="A2" s="24">
        <v>1</v>
      </c>
      <c r="B2" s="24" t="s">
        <v>240</v>
      </c>
      <c r="C2" s="24" t="s">
        <v>241</v>
      </c>
      <c r="D2" s="24" t="s">
        <v>242</v>
      </c>
      <c r="E2" s="24" t="s">
        <v>242</v>
      </c>
      <c r="F2" s="24" t="s">
        <v>243</v>
      </c>
      <c r="G2" s="24" t="s">
        <v>242</v>
      </c>
      <c r="H2" s="24" t="s">
        <v>242</v>
      </c>
      <c r="I2" s="24" t="s">
        <v>242</v>
      </c>
      <c r="J2" s="24" t="s">
        <v>242</v>
      </c>
    </row>
    <row r="3" spans="1:14" x14ac:dyDescent="0.35">
      <c r="A3" s="24">
        <v>1</v>
      </c>
      <c r="B3" s="24" t="s">
        <v>244</v>
      </c>
      <c r="C3" s="24" t="s">
        <v>242</v>
      </c>
      <c r="D3" s="24" t="s">
        <v>242</v>
      </c>
      <c r="E3" s="24" t="s">
        <v>242</v>
      </c>
      <c r="F3" s="24" t="s">
        <v>245</v>
      </c>
      <c r="G3" s="24" t="s">
        <v>242</v>
      </c>
      <c r="H3" s="24" t="s">
        <v>242</v>
      </c>
      <c r="I3" s="24" t="s">
        <v>242</v>
      </c>
      <c r="J3" s="24" t="s">
        <v>242</v>
      </c>
    </row>
    <row r="4" spans="1:14" x14ac:dyDescent="0.35">
      <c r="A4" s="24">
        <v>1</v>
      </c>
      <c r="B4" s="24" t="s">
        <v>246</v>
      </c>
      <c r="C4" s="24" t="s">
        <v>242</v>
      </c>
      <c r="D4" s="24" t="s">
        <v>242</v>
      </c>
      <c r="E4" s="24" t="s">
        <v>242</v>
      </c>
      <c r="F4" s="24" t="s">
        <v>245</v>
      </c>
      <c r="G4" s="24" t="s">
        <v>242</v>
      </c>
      <c r="H4" s="24" t="s">
        <v>242</v>
      </c>
      <c r="I4" s="24" t="s">
        <v>242</v>
      </c>
      <c r="J4" s="24" t="s">
        <v>242</v>
      </c>
    </row>
    <row r="5" spans="1:14" x14ac:dyDescent="0.35">
      <c r="A5" s="24">
        <v>1</v>
      </c>
      <c r="B5" s="24" t="s">
        <v>247</v>
      </c>
      <c r="C5" s="24" t="s">
        <v>242</v>
      </c>
      <c r="D5" s="24" t="s">
        <v>242</v>
      </c>
      <c r="E5" s="24" t="s">
        <v>242</v>
      </c>
      <c r="F5" s="24" t="s">
        <v>245</v>
      </c>
      <c r="G5" s="24" t="s">
        <v>242</v>
      </c>
      <c r="H5" s="24" t="s">
        <v>242</v>
      </c>
      <c r="I5" s="24" t="s">
        <v>242</v>
      </c>
      <c r="J5" s="24" t="s">
        <v>242</v>
      </c>
    </row>
    <row r="6" spans="1:14" x14ac:dyDescent="0.35">
      <c r="A6" s="24">
        <v>1</v>
      </c>
      <c r="B6" s="24" t="s">
        <v>248</v>
      </c>
      <c r="C6" s="24" t="s">
        <v>241</v>
      </c>
      <c r="D6" s="24" t="s">
        <v>242</v>
      </c>
      <c r="E6" s="24" t="s">
        <v>242</v>
      </c>
      <c r="F6" s="24" t="s">
        <v>245</v>
      </c>
      <c r="G6" s="24" t="s">
        <v>242</v>
      </c>
      <c r="H6" s="24" t="s">
        <v>242</v>
      </c>
      <c r="I6" s="24" t="s">
        <v>242</v>
      </c>
      <c r="J6" s="24" t="s">
        <v>242</v>
      </c>
    </row>
    <row r="7" spans="1:14" x14ac:dyDescent="0.35">
      <c r="A7" s="24">
        <v>1</v>
      </c>
      <c r="B7" s="24" t="s">
        <v>249</v>
      </c>
      <c r="C7" s="24" t="s">
        <v>241</v>
      </c>
      <c r="D7" s="24" t="s">
        <v>243</v>
      </c>
      <c r="E7" s="24" t="s">
        <v>243</v>
      </c>
      <c r="F7" s="24" t="s">
        <v>243</v>
      </c>
      <c r="G7" s="24" t="s">
        <v>243</v>
      </c>
      <c r="H7" s="24" t="s">
        <v>243</v>
      </c>
      <c r="I7" s="24" t="s">
        <v>243</v>
      </c>
      <c r="J7" s="24" t="s">
        <v>243</v>
      </c>
    </row>
    <row r="9" spans="1:14" x14ac:dyDescent="0.35">
      <c r="B9" s="26"/>
      <c r="C9" s="26"/>
      <c r="D9" s="26"/>
      <c r="E9" s="26"/>
      <c r="F9" s="26"/>
    </row>
    <row r="10" spans="1:14" x14ac:dyDescent="0.35">
      <c r="B10" s="26"/>
      <c r="C10" s="26"/>
      <c r="D10" s="26"/>
      <c r="E10" s="26"/>
      <c r="F10" s="26"/>
    </row>
    <row r="11" spans="1:14" x14ac:dyDescent="0.35">
      <c r="B11" s="26"/>
      <c r="C11" s="26"/>
      <c r="D11" s="26"/>
      <c r="E11" s="26"/>
      <c r="F11" s="26"/>
    </row>
    <row r="12" spans="1:14" x14ac:dyDescent="0.35">
      <c r="A12" s="24" t="s">
        <v>250</v>
      </c>
      <c r="B12" s="26"/>
      <c r="C12" s="26"/>
      <c r="D12" s="26"/>
      <c r="E12" s="26"/>
      <c r="F12" s="26"/>
    </row>
    <row r="13" spans="1:14" x14ac:dyDescent="0.35">
      <c r="B13" s="26"/>
      <c r="C13" s="26"/>
      <c r="D13" s="26"/>
      <c r="E13" s="26"/>
      <c r="F13" s="26"/>
    </row>
    <row r="14" spans="1:14" x14ac:dyDescent="0.35">
      <c r="B14" s="26"/>
      <c r="C14" s="26"/>
      <c r="D14" s="26"/>
      <c r="E14" s="26"/>
      <c r="F14" s="26"/>
    </row>
    <row r="15" spans="1:14" x14ac:dyDescent="0.35">
      <c r="B15" s="26"/>
      <c r="C15" s="26"/>
      <c r="D15" s="26"/>
      <c r="E15" s="26"/>
      <c r="F15" s="26"/>
    </row>
    <row r="16" spans="1:14" x14ac:dyDescent="0.35">
      <c r="B16" s="26"/>
      <c r="C16" s="26"/>
      <c r="D16" s="26"/>
      <c r="E16" s="26"/>
      <c r="F16" s="26"/>
    </row>
    <row r="17" spans="2:6" x14ac:dyDescent="0.35">
      <c r="B17" s="26"/>
      <c r="C17" s="26"/>
      <c r="D17" s="26"/>
      <c r="E17" s="26"/>
      <c r="F17" s="26"/>
    </row>
    <row r="18" spans="2:6" x14ac:dyDescent="0.35">
      <c r="B18" s="26"/>
      <c r="C18" s="26"/>
      <c r="D18" s="26"/>
      <c r="E18" s="26"/>
      <c r="F18" s="26"/>
    </row>
    <row r="19" spans="2:6" x14ac:dyDescent="0.35">
      <c r="B19" s="26"/>
      <c r="C19" s="26"/>
      <c r="D19" s="26"/>
      <c r="E19" s="26"/>
      <c r="F19" s="26"/>
    </row>
    <row r="20" spans="2:6" x14ac:dyDescent="0.35">
      <c r="B20" s="26"/>
      <c r="C20" s="26"/>
      <c r="D20" s="26"/>
      <c r="E20" s="26"/>
      <c r="F20" s="26"/>
    </row>
    <row r="21" spans="2:6" x14ac:dyDescent="0.35">
      <c r="B21" s="26"/>
      <c r="C21" s="26"/>
      <c r="D21" s="26"/>
      <c r="E21" s="26"/>
      <c r="F21" s="26"/>
    </row>
    <row r="22" spans="2:6" x14ac:dyDescent="0.35">
      <c r="B22" s="26"/>
      <c r="C22" s="26"/>
      <c r="D22" s="26"/>
      <c r="E22" s="26"/>
      <c r="F22" s="26"/>
    </row>
    <row r="23" spans="2:6" x14ac:dyDescent="0.35">
      <c r="B23" s="26"/>
      <c r="C23" s="26"/>
      <c r="D23" s="26"/>
      <c r="E23" s="26"/>
      <c r="F23" s="26"/>
    </row>
    <row r="24" spans="2:6" x14ac:dyDescent="0.35">
      <c r="B24" s="26"/>
      <c r="C24" s="26"/>
      <c r="D24" s="26"/>
      <c r="E24" s="26"/>
      <c r="F24" s="26"/>
    </row>
    <row r="25" spans="2:6" x14ac:dyDescent="0.35">
      <c r="B25" s="26"/>
      <c r="C25" s="26"/>
      <c r="D25" s="26"/>
      <c r="E25" s="26"/>
      <c r="F25" s="26"/>
    </row>
    <row r="26" spans="2:6" x14ac:dyDescent="0.35">
      <c r="B26" s="26"/>
      <c r="C26" s="26"/>
      <c r="D26" s="26"/>
      <c r="E26" s="26"/>
      <c r="F26" s="26"/>
    </row>
    <row r="27" spans="2:6" x14ac:dyDescent="0.35">
      <c r="B27" s="26"/>
      <c r="C27" s="26"/>
      <c r="D27" s="26"/>
      <c r="E27" s="26"/>
      <c r="F27" s="26"/>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7C04-F4B6-4EE7-A59D-C809876018AB}">
  <dimension ref="A1:M14"/>
  <sheetViews>
    <sheetView view="pageLayout" zoomScale="50" zoomScaleNormal="100" zoomScalePageLayoutView="50" workbookViewId="0">
      <selection activeCell="I14" sqref="I14"/>
    </sheetView>
  </sheetViews>
  <sheetFormatPr defaultColWidth="8.7265625" defaultRowHeight="14.5" x14ac:dyDescent="0.35"/>
  <cols>
    <col min="1" max="1" width="52.453125" style="26" customWidth="1"/>
    <col min="2" max="13" width="6.1796875" style="26" customWidth="1"/>
    <col min="14" max="16384" width="8.7265625" style="26"/>
  </cols>
  <sheetData>
    <row r="1" spans="1:13" ht="15.5" x14ac:dyDescent="0.35">
      <c r="A1" s="34" t="s">
        <v>251</v>
      </c>
      <c r="B1" s="89">
        <v>2026</v>
      </c>
      <c r="C1" s="89"/>
      <c r="D1" s="89"/>
      <c r="E1" s="89"/>
      <c r="F1" s="89"/>
      <c r="G1" s="89"/>
      <c r="H1" s="89"/>
      <c r="I1" s="89"/>
      <c r="J1" s="89"/>
      <c r="K1" s="89"/>
      <c r="L1" s="89"/>
      <c r="M1" s="90"/>
    </row>
    <row r="2" spans="1:13" x14ac:dyDescent="0.35">
      <c r="A2" s="35" t="s">
        <v>252</v>
      </c>
      <c r="B2" s="36" t="s">
        <v>5</v>
      </c>
      <c r="C2" s="36" t="s">
        <v>6</v>
      </c>
      <c r="D2" s="36" t="s">
        <v>7</v>
      </c>
      <c r="E2" s="36" t="s">
        <v>8</v>
      </c>
      <c r="F2" s="36" t="s">
        <v>9</v>
      </c>
      <c r="G2" s="36" t="s">
        <v>10</v>
      </c>
      <c r="H2" s="36" t="s">
        <v>11</v>
      </c>
      <c r="I2" s="36" t="s">
        <v>12</v>
      </c>
      <c r="J2" s="36" t="s">
        <v>13</v>
      </c>
      <c r="K2" s="36" t="s">
        <v>14</v>
      </c>
      <c r="L2" s="36" t="s">
        <v>15</v>
      </c>
      <c r="M2" s="37" t="s">
        <v>16</v>
      </c>
    </row>
    <row r="3" spans="1:13" ht="21" x14ac:dyDescent="0.35">
      <c r="A3" s="38" t="s">
        <v>253</v>
      </c>
      <c r="B3" s="39">
        <v>0</v>
      </c>
      <c r="C3" s="39">
        <v>0</v>
      </c>
      <c r="D3" s="39">
        <v>0</v>
      </c>
      <c r="E3" s="39">
        <v>0</v>
      </c>
      <c r="F3" s="39">
        <v>0</v>
      </c>
      <c r="G3" s="39">
        <v>0</v>
      </c>
      <c r="H3" s="39">
        <v>0</v>
      </c>
      <c r="I3" s="39">
        <v>0</v>
      </c>
      <c r="J3" s="39"/>
      <c r="K3" s="39"/>
      <c r="L3" s="39"/>
      <c r="M3" s="40"/>
    </row>
    <row r="4" spans="1:13" ht="21" x14ac:dyDescent="0.35">
      <c r="A4" s="38" t="s">
        <v>254</v>
      </c>
      <c r="B4" s="39">
        <v>0</v>
      </c>
      <c r="C4" s="39">
        <v>0</v>
      </c>
      <c r="D4" s="39">
        <v>0</v>
      </c>
      <c r="E4" s="39">
        <v>0</v>
      </c>
      <c r="F4" s="39">
        <v>0</v>
      </c>
      <c r="G4" s="39">
        <v>0</v>
      </c>
      <c r="H4" s="39">
        <v>0</v>
      </c>
      <c r="I4" s="39">
        <v>0</v>
      </c>
      <c r="J4" s="39"/>
      <c r="K4" s="39"/>
      <c r="L4" s="39"/>
      <c r="M4" s="40"/>
    </row>
    <row r="5" spans="1:13" ht="21" x14ac:dyDescent="0.35">
      <c r="A5" s="38" t="s">
        <v>255</v>
      </c>
      <c r="B5" s="39">
        <v>0</v>
      </c>
      <c r="C5" s="39">
        <v>0</v>
      </c>
      <c r="D5" s="39">
        <v>0</v>
      </c>
      <c r="E5" s="39">
        <v>0</v>
      </c>
      <c r="F5" s="39">
        <v>0</v>
      </c>
      <c r="G5" s="39">
        <v>0</v>
      </c>
      <c r="H5" s="39">
        <v>0</v>
      </c>
      <c r="I5" s="39">
        <v>0</v>
      </c>
      <c r="J5" s="39"/>
      <c r="K5" s="39"/>
      <c r="L5" s="39"/>
      <c r="M5" s="40"/>
    </row>
    <row r="6" spans="1:13" ht="21" x14ac:dyDescent="0.35">
      <c r="A6" s="38" t="s">
        <v>256</v>
      </c>
      <c r="B6" s="39">
        <v>0</v>
      </c>
      <c r="C6" s="39">
        <v>0</v>
      </c>
      <c r="D6" s="39">
        <v>0</v>
      </c>
      <c r="E6" s="39">
        <v>0</v>
      </c>
      <c r="F6" s="39">
        <v>0</v>
      </c>
      <c r="G6" s="39">
        <v>0</v>
      </c>
      <c r="H6" s="39">
        <v>0</v>
      </c>
      <c r="I6" s="39">
        <v>0</v>
      </c>
      <c r="J6" s="39"/>
      <c r="K6" s="39"/>
      <c r="L6" s="39"/>
      <c r="M6" s="40"/>
    </row>
    <row r="7" spans="1:13" ht="21" x14ac:dyDescent="0.35">
      <c r="A7" s="38" t="s">
        <v>196</v>
      </c>
      <c r="B7" s="39">
        <v>0</v>
      </c>
      <c r="C7" s="39">
        <v>0</v>
      </c>
      <c r="D7" s="39" t="s">
        <v>257</v>
      </c>
      <c r="E7" s="39">
        <v>0</v>
      </c>
      <c r="F7" s="39">
        <v>0</v>
      </c>
      <c r="G7" s="39">
        <v>0</v>
      </c>
      <c r="H7" s="39">
        <v>0</v>
      </c>
      <c r="I7" s="39">
        <v>0</v>
      </c>
      <c r="J7" s="39"/>
      <c r="K7" s="39"/>
      <c r="L7" s="39"/>
      <c r="M7" s="40"/>
    </row>
    <row r="8" spans="1:13" ht="21" x14ac:dyDescent="0.35">
      <c r="A8" s="38" t="s">
        <v>258</v>
      </c>
      <c r="B8" s="39" t="s">
        <v>257</v>
      </c>
      <c r="C8" s="39" t="s">
        <v>257</v>
      </c>
      <c r="D8" s="39">
        <v>0</v>
      </c>
      <c r="E8" s="39" t="s">
        <v>257</v>
      </c>
      <c r="F8" s="39" t="s">
        <v>259</v>
      </c>
      <c r="G8" s="39" t="s">
        <v>259</v>
      </c>
      <c r="H8" s="39" t="s">
        <v>259</v>
      </c>
      <c r="I8" s="39" t="s">
        <v>259</v>
      </c>
      <c r="J8" s="39"/>
      <c r="K8" s="39"/>
      <c r="L8" s="39"/>
      <c r="M8" s="40"/>
    </row>
    <row r="9" spans="1:13" ht="21.5" thickBot="1" x14ac:dyDescent="0.4">
      <c r="A9" s="38" t="s">
        <v>260</v>
      </c>
      <c r="B9" s="39" t="s">
        <v>257</v>
      </c>
      <c r="C9" s="41" t="s">
        <v>257</v>
      </c>
      <c r="D9" s="39" t="s">
        <v>257</v>
      </c>
      <c r="E9" s="39">
        <v>0</v>
      </c>
      <c r="F9" s="39" t="s">
        <v>259</v>
      </c>
      <c r="G9" s="41" t="s">
        <v>259</v>
      </c>
      <c r="H9" s="39" t="s">
        <v>259</v>
      </c>
      <c r="I9" s="39" t="s">
        <v>259</v>
      </c>
      <c r="J9" s="39"/>
      <c r="K9" s="39"/>
      <c r="L9" s="39"/>
      <c r="M9" s="40"/>
    </row>
    <row r="10" spans="1:13" ht="21.5" thickBot="1" x14ac:dyDescent="0.4">
      <c r="A10" s="38" t="s">
        <v>261</v>
      </c>
      <c r="B10" s="41" t="s">
        <v>257</v>
      </c>
      <c r="C10" s="41" t="s">
        <v>257</v>
      </c>
      <c r="D10" s="41" t="s">
        <v>257</v>
      </c>
      <c r="E10" s="39" t="s">
        <v>259</v>
      </c>
      <c r="F10" s="39">
        <v>3</v>
      </c>
      <c r="G10" s="39" t="s">
        <v>259</v>
      </c>
      <c r="H10" s="39" t="s">
        <v>259</v>
      </c>
      <c r="I10" s="39" t="s">
        <v>259</v>
      </c>
      <c r="J10" s="39"/>
      <c r="K10" s="39"/>
      <c r="L10" s="39"/>
      <c r="M10" s="40"/>
    </row>
    <row r="11" spans="1:13" ht="21.5" thickBot="1" x14ac:dyDescent="0.4">
      <c r="A11" s="38" t="s">
        <v>262</v>
      </c>
      <c r="B11" s="41" t="s">
        <v>257</v>
      </c>
      <c r="C11" s="41" t="s">
        <v>257</v>
      </c>
      <c r="D11" s="41" t="s">
        <v>257</v>
      </c>
      <c r="E11" s="41" t="s">
        <v>259</v>
      </c>
      <c r="F11" s="41">
        <v>0</v>
      </c>
      <c r="G11" s="41" t="s">
        <v>259</v>
      </c>
      <c r="H11" s="41" t="s">
        <v>259</v>
      </c>
      <c r="I11" s="41" t="s">
        <v>259</v>
      </c>
      <c r="J11" s="39"/>
      <c r="K11" s="39"/>
      <c r="L11" s="39"/>
      <c r="M11" s="40"/>
    </row>
    <row r="12" spans="1:13" ht="21.5" thickBot="1" x14ac:dyDescent="0.4">
      <c r="A12" s="38" t="s">
        <v>259</v>
      </c>
      <c r="B12" s="41" t="s">
        <v>257</v>
      </c>
      <c r="C12" s="41" t="s">
        <v>257</v>
      </c>
      <c r="D12" s="41" t="s">
        <v>257</v>
      </c>
      <c r="E12" s="41" t="s">
        <v>259</v>
      </c>
      <c r="F12" s="41" t="s">
        <v>259</v>
      </c>
      <c r="G12" s="39" t="s">
        <v>259</v>
      </c>
      <c r="H12" s="41" t="s">
        <v>259</v>
      </c>
      <c r="I12" s="41" t="s">
        <v>259</v>
      </c>
      <c r="J12" s="39"/>
      <c r="K12" s="39"/>
      <c r="L12" s="39"/>
      <c r="M12" s="40"/>
    </row>
    <row r="13" spans="1:13" ht="21.5" thickBot="1" x14ac:dyDescent="0.4">
      <c r="A13" s="38" t="s">
        <v>259</v>
      </c>
      <c r="B13" s="41" t="s">
        <v>257</v>
      </c>
      <c r="C13" s="41" t="s">
        <v>257</v>
      </c>
      <c r="D13" s="41" t="s">
        <v>257</v>
      </c>
      <c r="E13" s="41" t="s">
        <v>259</v>
      </c>
      <c r="F13" s="41" t="s">
        <v>259</v>
      </c>
      <c r="G13" s="41" t="s">
        <v>259</v>
      </c>
      <c r="H13" s="41" t="s">
        <v>259</v>
      </c>
      <c r="I13" s="41" t="s">
        <v>259</v>
      </c>
      <c r="J13" s="39"/>
      <c r="K13" s="39"/>
      <c r="L13" s="39"/>
      <c r="M13" s="40"/>
    </row>
    <row r="14" spans="1:13" ht="21.5" thickBot="1" x14ac:dyDescent="0.4">
      <c r="A14" s="42" t="s">
        <v>259</v>
      </c>
      <c r="B14" s="41" t="s">
        <v>257</v>
      </c>
      <c r="C14" s="41" t="s">
        <v>257</v>
      </c>
      <c r="D14" s="41" t="s">
        <v>257</v>
      </c>
      <c r="E14" s="41" t="s">
        <v>259</v>
      </c>
      <c r="F14" s="41" t="s">
        <v>259</v>
      </c>
      <c r="G14" s="41" t="s">
        <v>259</v>
      </c>
      <c r="H14" s="41" t="s">
        <v>259</v>
      </c>
      <c r="I14" s="41" t="s">
        <v>259</v>
      </c>
      <c r="J14" s="41"/>
      <c r="K14" s="41"/>
      <c r="L14" s="41"/>
      <c r="M14" s="43"/>
    </row>
  </sheetData>
  <mergeCells count="1">
    <mergeCell ref="B1:M1"/>
  </mergeCells>
  <pageMargins left="0.70866141732283472" right="0.70866141732283472" top="1.6535433070866143" bottom="0.96875" header="0.31496062992125984" footer="0.31496062992125984"/>
  <pageSetup scale="92" orientation="landscape" r:id="rId1"/>
  <headerFooter>
    <oddHeader xml:space="preserve">&amp;C&amp;"Times New Roman,Bold"&amp;14
FOOD CONTACT SURFACE LISTERIA SAMPLING SUMMARY REPORT&amp;R&amp;"Times New Roman,Bold"Doc #:na
Rev #:NA
Issue Date :na9
Supersedes: NA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847EB-CB92-4F39-95A0-D15E5F0AA777}">
  <dimension ref="A1:H17"/>
  <sheetViews>
    <sheetView workbookViewId="0"/>
  </sheetViews>
  <sheetFormatPr defaultColWidth="8.7265625" defaultRowHeight="14.5" x14ac:dyDescent="0.35"/>
  <cols>
    <col min="1" max="3" width="14.26953125" style="26" customWidth="1"/>
    <col min="4" max="4" width="30.81640625" style="26" customWidth="1"/>
    <col min="5" max="5" width="26.81640625" style="26" customWidth="1"/>
    <col min="6" max="6" width="32.81640625" style="26" customWidth="1"/>
    <col min="7" max="7" width="8.7265625" style="26"/>
    <col min="8" max="8" width="11.453125" style="26" customWidth="1"/>
    <col min="9" max="16384" width="8.7265625" style="26"/>
  </cols>
  <sheetData>
    <row r="1" spans="1:8" x14ac:dyDescent="0.35">
      <c r="D1" s="26" t="s">
        <v>263</v>
      </c>
    </row>
    <row r="2" spans="1:8" x14ac:dyDescent="0.35">
      <c r="D2" s="26" t="s">
        <v>264</v>
      </c>
    </row>
    <row r="3" spans="1:8" x14ac:dyDescent="0.35">
      <c r="A3" s="26" t="s">
        <v>265</v>
      </c>
      <c r="B3" s="26" t="s">
        <v>266</v>
      </c>
      <c r="C3" s="26" t="s">
        <v>267</v>
      </c>
      <c r="D3" s="44" t="s">
        <v>268</v>
      </c>
      <c r="E3" s="44" t="s">
        <v>269</v>
      </c>
      <c r="F3" s="44" t="s">
        <v>270</v>
      </c>
      <c r="G3" s="26" t="s">
        <v>271</v>
      </c>
      <c r="H3" s="26" t="s">
        <v>272</v>
      </c>
    </row>
    <row r="4" spans="1:8" x14ac:dyDescent="0.35">
      <c r="A4" s="45">
        <v>46155</v>
      </c>
      <c r="B4" s="45" t="s">
        <v>273</v>
      </c>
      <c r="C4" s="45" t="s">
        <v>274</v>
      </c>
      <c r="D4" s="28" t="s">
        <v>275</v>
      </c>
      <c r="E4" s="28" t="s">
        <v>275</v>
      </c>
      <c r="F4" s="28" t="s">
        <v>275</v>
      </c>
      <c r="G4" s="26" t="s">
        <v>276</v>
      </c>
      <c r="H4" s="28" t="s">
        <v>277</v>
      </c>
    </row>
    <row r="5" spans="1:8" x14ac:dyDescent="0.35">
      <c r="A5" s="45">
        <v>46155</v>
      </c>
      <c r="B5" s="26" t="s">
        <v>278</v>
      </c>
      <c r="C5" s="26" t="s">
        <v>279</v>
      </c>
      <c r="D5" s="28" t="s">
        <v>275</v>
      </c>
      <c r="E5" s="28" t="s">
        <v>275</v>
      </c>
      <c r="F5" s="28" t="s">
        <v>275</v>
      </c>
      <c r="G5" s="26" t="s">
        <v>276</v>
      </c>
      <c r="H5" s="28" t="s">
        <v>277</v>
      </c>
    </row>
    <row r="6" spans="1:8" x14ac:dyDescent="0.35">
      <c r="A6" s="45">
        <v>46155</v>
      </c>
      <c r="B6" s="26" t="s">
        <v>280</v>
      </c>
      <c r="C6" s="26" t="s">
        <v>281</v>
      </c>
      <c r="D6" s="28">
        <v>1</v>
      </c>
      <c r="E6" s="28" t="s">
        <v>275</v>
      </c>
      <c r="F6" s="28" t="s">
        <v>282</v>
      </c>
      <c r="G6" s="26" t="s">
        <v>276</v>
      </c>
      <c r="H6" s="28" t="s">
        <v>277</v>
      </c>
    </row>
    <row r="7" spans="1:8" x14ac:dyDescent="0.35">
      <c r="A7" s="45">
        <v>46155</v>
      </c>
      <c r="B7" s="26" t="s">
        <v>283</v>
      </c>
      <c r="C7" s="26" t="s">
        <v>284</v>
      </c>
      <c r="D7" s="28" t="s">
        <v>275</v>
      </c>
      <c r="E7" s="28" t="s">
        <v>275</v>
      </c>
      <c r="F7" s="28" t="s">
        <v>275</v>
      </c>
      <c r="G7" s="26" t="s">
        <v>276</v>
      </c>
      <c r="H7" s="28" t="s">
        <v>277</v>
      </c>
    </row>
    <row r="8" spans="1:8" x14ac:dyDescent="0.35">
      <c r="A8" s="45">
        <v>46155</v>
      </c>
      <c r="B8" s="26" t="s">
        <v>285</v>
      </c>
      <c r="C8" s="26" t="s">
        <v>279</v>
      </c>
      <c r="D8" s="28" t="s">
        <v>275</v>
      </c>
      <c r="E8" s="28" t="s">
        <v>275</v>
      </c>
      <c r="F8" s="28" t="s">
        <v>275</v>
      </c>
      <c r="G8" s="26" t="s">
        <v>276</v>
      </c>
      <c r="H8" s="28" t="s">
        <v>277</v>
      </c>
    </row>
    <row r="9" spans="1:8" x14ac:dyDescent="0.35">
      <c r="A9" s="45">
        <v>46155</v>
      </c>
      <c r="B9" s="26" t="s">
        <v>286</v>
      </c>
      <c r="C9" s="26" t="s">
        <v>279</v>
      </c>
      <c r="D9" s="28" t="s">
        <v>275</v>
      </c>
      <c r="E9" s="28" t="s">
        <v>275</v>
      </c>
      <c r="F9" s="28">
        <v>1</v>
      </c>
      <c r="G9" s="26" t="s">
        <v>276</v>
      </c>
      <c r="H9" s="28" t="s">
        <v>277</v>
      </c>
    </row>
    <row r="10" spans="1:8" x14ac:dyDescent="0.35">
      <c r="A10" s="45">
        <v>46155</v>
      </c>
      <c r="B10" s="26" t="s">
        <v>287</v>
      </c>
      <c r="C10" s="26" t="s">
        <v>279</v>
      </c>
      <c r="D10" s="28" t="s">
        <v>275</v>
      </c>
      <c r="E10" s="28" t="s">
        <v>275</v>
      </c>
      <c r="F10" s="28" t="s">
        <v>275</v>
      </c>
      <c r="G10" s="26" t="s">
        <v>276</v>
      </c>
      <c r="H10" s="28" t="s">
        <v>277</v>
      </c>
    </row>
    <row r="11" spans="1:8" x14ac:dyDescent="0.35">
      <c r="A11" s="45">
        <v>46155</v>
      </c>
      <c r="B11" s="26" t="s">
        <v>288</v>
      </c>
      <c r="C11" s="26" t="s">
        <v>279</v>
      </c>
      <c r="D11" s="28" t="s">
        <v>275</v>
      </c>
      <c r="E11" s="28" t="s">
        <v>275</v>
      </c>
      <c r="F11" s="28">
        <v>1</v>
      </c>
      <c r="G11" s="26" t="s">
        <v>276</v>
      </c>
      <c r="H11" s="28" t="s">
        <v>277</v>
      </c>
    </row>
    <row r="12" spans="1:8" x14ac:dyDescent="0.35">
      <c r="A12" s="45">
        <v>46155</v>
      </c>
      <c r="B12" s="26" t="s">
        <v>100</v>
      </c>
      <c r="C12" s="26" t="s">
        <v>279</v>
      </c>
      <c r="D12" s="28" t="s">
        <v>275</v>
      </c>
      <c r="E12" s="28" t="s">
        <v>275</v>
      </c>
      <c r="F12" s="28">
        <v>1</v>
      </c>
      <c r="G12" s="26" t="s">
        <v>276</v>
      </c>
      <c r="H12" s="28" t="s">
        <v>277</v>
      </c>
    </row>
    <row r="13" spans="1:8" x14ac:dyDescent="0.35">
      <c r="A13" s="45">
        <v>46155</v>
      </c>
      <c r="B13" s="26" t="s">
        <v>289</v>
      </c>
      <c r="C13" s="26" t="s">
        <v>279</v>
      </c>
      <c r="D13" s="28" t="s">
        <v>275</v>
      </c>
      <c r="E13" s="28" t="s">
        <v>275</v>
      </c>
      <c r="F13" s="28">
        <v>1</v>
      </c>
      <c r="G13" s="26" t="s">
        <v>276</v>
      </c>
      <c r="H13" s="28" t="s">
        <v>277</v>
      </c>
    </row>
    <row r="15" spans="1:8" x14ac:dyDescent="0.35">
      <c r="B15" s="26" t="s">
        <v>285</v>
      </c>
    </row>
    <row r="16" spans="1:8" x14ac:dyDescent="0.35">
      <c r="B16" s="26" t="s">
        <v>286</v>
      </c>
    </row>
    <row r="17" spans="2:2" x14ac:dyDescent="0.35">
      <c r="B17" s="26"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454C-8481-4946-A68F-2520646E525C}">
  <dimension ref="A1:F16"/>
  <sheetViews>
    <sheetView workbookViewId="0">
      <selection activeCell="A8" sqref="A8"/>
    </sheetView>
  </sheetViews>
  <sheetFormatPr defaultRowHeight="14.5" x14ac:dyDescent="0.35"/>
  <cols>
    <col min="1" max="1" width="16.453125" customWidth="1"/>
    <col min="2" max="2" width="12.81640625" customWidth="1"/>
    <col min="3" max="3" width="39.26953125" customWidth="1"/>
    <col min="4" max="4" width="25.26953125" customWidth="1"/>
  </cols>
  <sheetData>
    <row r="1" spans="1:6" x14ac:dyDescent="0.35">
      <c r="A1" s="26"/>
      <c r="B1" s="26"/>
      <c r="C1" s="26"/>
      <c r="D1" s="26" t="s">
        <v>290</v>
      </c>
      <c r="E1" s="26"/>
      <c r="F1" s="26" t="s">
        <v>291</v>
      </c>
    </row>
    <row r="2" spans="1:6" x14ac:dyDescent="0.35">
      <c r="A2" s="26"/>
      <c r="B2" s="26"/>
      <c r="C2" s="26"/>
      <c r="D2" s="26" t="s">
        <v>264</v>
      </c>
      <c r="E2" s="26"/>
      <c r="F2" s="26"/>
    </row>
    <row r="3" spans="1:6" x14ac:dyDescent="0.35">
      <c r="A3" s="26" t="s">
        <v>265</v>
      </c>
      <c r="B3" s="26" t="s">
        <v>266</v>
      </c>
      <c r="C3" s="26" t="s">
        <v>267</v>
      </c>
      <c r="D3" s="44" t="s">
        <v>69</v>
      </c>
      <c r="E3" s="26" t="s">
        <v>271</v>
      </c>
      <c r="F3" s="26" t="s">
        <v>272</v>
      </c>
    </row>
    <row r="4" spans="1:6" x14ac:dyDescent="0.35">
      <c r="A4" s="45">
        <v>46098</v>
      </c>
      <c r="B4" s="45" t="s">
        <v>292</v>
      </c>
      <c r="C4" s="45" t="s">
        <v>293</v>
      </c>
      <c r="D4" s="28" t="s">
        <v>294</v>
      </c>
      <c r="E4" s="26" t="s">
        <v>276</v>
      </c>
      <c r="F4" s="28" t="s">
        <v>277</v>
      </c>
    </row>
    <row r="5" spans="1:6" x14ac:dyDescent="0.35">
      <c r="A5" s="45">
        <v>46098</v>
      </c>
      <c r="B5" s="26" t="s">
        <v>295</v>
      </c>
      <c r="C5" s="45" t="s">
        <v>296</v>
      </c>
      <c r="D5" s="28" t="s">
        <v>297</v>
      </c>
      <c r="E5" s="26" t="s">
        <v>276</v>
      </c>
      <c r="F5" s="28" t="s">
        <v>277</v>
      </c>
    </row>
    <row r="6" spans="1:6" x14ac:dyDescent="0.35">
      <c r="A6" s="45"/>
      <c r="B6" s="45"/>
      <c r="C6" s="45"/>
      <c r="D6" s="28"/>
      <c r="E6" s="26"/>
      <c r="F6" s="28"/>
    </row>
    <row r="7" spans="1:6" x14ac:dyDescent="0.35">
      <c r="A7" s="45">
        <v>46192</v>
      </c>
      <c r="B7" s="45" t="s">
        <v>292</v>
      </c>
      <c r="C7" s="26" t="s">
        <v>298</v>
      </c>
      <c r="D7" s="28" t="s">
        <v>299</v>
      </c>
      <c r="E7" s="26" t="s">
        <v>276</v>
      </c>
      <c r="F7" s="28" t="s">
        <v>277</v>
      </c>
    </row>
    <row r="8" spans="1:6" x14ac:dyDescent="0.35">
      <c r="A8" s="45">
        <v>46192</v>
      </c>
      <c r="B8" s="26" t="s">
        <v>295</v>
      </c>
      <c r="C8" s="26" t="s">
        <v>300</v>
      </c>
      <c r="D8" s="28" t="s">
        <v>301</v>
      </c>
      <c r="E8" s="26" t="s">
        <v>276</v>
      </c>
      <c r="F8" s="28" t="s">
        <v>277</v>
      </c>
    </row>
    <row r="9" spans="1:6" x14ac:dyDescent="0.35">
      <c r="A9" s="45"/>
      <c r="B9" s="26"/>
      <c r="C9" s="26"/>
      <c r="D9" s="28"/>
      <c r="E9" s="26"/>
      <c r="F9" s="28"/>
    </row>
    <row r="10" spans="1:6" x14ac:dyDescent="0.35">
      <c r="A10" s="45"/>
      <c r="B10" s="26"/>
      <c r="C10" s="26"/>
      <c r="D10" s="28"/>
      <c r="E10" s="26"/>
      <c r="F10" s="28"/>
    </row>
    <row r="11" spans="1:6" x14ac:dyDescent="0.35">
      <c r="A11" s="45"/>
      <c r="B11" s="26"/>
      <c r="C11" s="26"/>
      <c r="D11" s="28"/>
      <c r="E11" s="26"/>
      <c r="F11" s="28"/>
    </row>
    <row r="12" spans="1:6" x14ac:dyDescent="0.35">
      <c r="A12" s="45"/>
      <c r="B12" s="26"/>
      <c r="C12" s="26"/>
      <c r="D12" s="28"/>
      <c r="E12" s="26"/>
      <c r="F12" s="28"/>
    </row>
    <row r="13" spans="1:6" x14ac:dyDescent="0.35">
      <c r="A13" s="45"/>
      <c r="B13" s="26"/>
      <c r="C13" s="26"/>
      <c r="D13" s="28"/>
      <c r="E13" s="26"/>
      <c r="F13" s="28"/>
    </row>
    <row r="14" spans="1:6" x14ac:dyDescent="0.35">
      <c r="A14" s="26"/>
      <c r="B14" s="26"/>
      <c r="C14" s="26"/>
      <c r="D14" s="26"/>
      <c r="E14" s="26"/>
      <c r="F14" s="26"/>
    </row>
    <row r="15" spans="1:6" x14ac:dyDescent="0.35">
      <c r="A15" s="26"/>
      <c r="B15" s="26"/>
      <c r="C15" s="26"/>
      <c r="D15" s="26"/>
      <c r="E15" s="26"/>
      <c r="F15" s="26"/>
    </row>
    <row r="16" spans="1:6" x14ac:dyDescent="0.35">
      <c r="A16" s="26"/>
      <c r="B16" s="26"/>
      <c r="C16" s="26"/>
      <c r="D16" s="26"/>
      <c r="E16" s="26"/>
      <c r="F16" s="2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21D8-E6C2-474E-8133-DA362545C231}">
  <dimension ref="A1:F16"/>
  <sheetViews>
    <sheetView workbookViewId="0">
      <selection activeCell="G8" sqref="G8"/>
    </sheetView>
  </sheetViews>
  <sheetFormatPr defaultRowHeight="14.5" x14ac:dyDescent="0.35"/>
  <cols>
    <col min="1" max="1" width="16.453125" customWidth="1"/>
    <col min="2" max="2" width="21.453125" customWidth="1"/>
    <col min="4" max="4" width="25.26953125" customWidth="1"/>
  </cols>
  <sheetData>
    <row r="1" spans="1:6" x14ac:dyDescent="0.35">
      <c r="A1" s="26"/>
      <c r="B1" s="26"/>
      <c r="C1" s="26"/>
      <c r="D1" s="26" t="s">
        <v>302</v>
      </c>
      <c r="E1" s="26"/>
      <c r="F1" s="26" t="s">
        <v>303</v>
      </c>
    </row>
    <row r="2" spans="1:6" x14ac:dyDescent="0.35">
      <c r="A2" s="26"/>
      <c r="B2" s="26"/>
      <c r="C2" s="26"/>
      <c r="D2" s="26" t="s">
        <v>264</v>
      </c>
      <c r="E2" s="26"/>
      <c r="F2" s="26"/>
    </row>
    <row r="3" spans="1:6" x14ac:dyDescent="0.35">
      <c r="A3" s="26" t="s">
        <v>265</v>
      </c>
      <c r="B3" s="26" t="s">
        <v>266</v>
      </c>
      <c r="C3" s="26" t="s">
        <v>267</v>
      </c>
      <c r="D3" s="44" t="s">
        <v>304</v>
      </c>
      <c r="E3" s="26" t="s">
        <v>271</v>
      </c>
      <c r="F3" s="26" t="s">
        <v>272</v>
      </c>
    </row>
    <row r="4" spans="1:6" x14ac:dyDescent="0.35">
      <c r="A4" s="45">
        <v>46128</v>
      </c>
      <c r="B4" s="45" t="s">
        <v>305</v>
      </c>
      <c r="C4" s="45" t="s">
        <v>180</v>
      </c>
      <c r="D4" s="28" t="s">
        <v>242</v>
      </c>
      <c r="E4" s="26" t="s">
        <v>276</v>
      </c>
      <c r="F4" s="28" t="s">
        <v>277</v>
      </c>
    </row>
    <row r="5" spans="1:6" x14ac:dyDescent="0.35">
      <c r="A5" s="45"/>
      <c r="B5" s="26"/>
      <c r="C5" s="45"/>
      <c r="D5" s="28"/>
      <c r="E5" s="26"/>
      <c r="F5" s="28"/>
    </row>
    <row r="6" spans="1:6" x14ac:dyDescent="0.35">
      <c r="A6" s="45"/>
      <c r="B6" s="26"/>
      <c r="C6" s="26"/>
      <c r="D6" s="28"/>
      <c r="E6" s="26"/>
      <c r="F6" s="28"/>
    </row>
    <row r="7" spans="1:6" x14ac:dyDescent="0.35">
      <c r="A7" s="45"/>
      <c r="B7" s="26"/>
      <c r="C7" s="26"/>
      <c r="D7" s="28"/>
      <c r="E7" s="26"/>
      <c r="F7" s="28"/>
    </row>
    <row r="8" spans="1:6" x14ac:dyDescent="0.35">
      <c r="A8" s="45"/>
      <c r="B8" s="26"/>
      <c r="C8" s="26"/>
      <c r="D8" s="28"/>
      <c r="E8" s="26"/>
      <c r="F8" s="28"/>
    </row>
    <row r="9" spans="1:6" x14ac:dyDescent="0.35">
      <c r="A9" s="45"/>
      <c r="B9" s="26"/>
      <c r="C9" s="26"/>
      <c r="D9" s="28"/>
      <c r="E9" s="26"/>
      <c r="F9" s="28"/>
    </row>
    <row r="10" spans="1:6" x14ac:dyDescent="0.35">
      <c r="A10" s="45"/>
      <c r="B10" s="26"/>
      <c r="C10" s="26"/>
      <c r="D10" s="28"/>
      <c r="E10" s="26"/>
      <c r="F10" s="28"/>
    </row>
    <row r="11" spans="1:6" x14ac:dyDescent="0.35">
      <c r="A11" s="45"/>
      <c r="B11" s="26"/>
      <c r="C11" s="26"/>
      <c r="D11" s="28"/>
      <c r="E11" s="26"/>
      <c r="F11" s="28"/>
    </row>
    <row r="12" spans="1:6" x14ac:dyDescent="0.35">
      <c r="A12" s="45"/>
      <c r="B12" s="26"/>
      <c r="C12" s="26"/>
      <c r="D12" s="28"/>
      <c r="E12" s="26"/>
      <c r="F12" s="28"/>
    </row>
    <row r="13" spans="1:6" x14ac:dyDescent="0.35">
      <c r="A13" s="45"/>
      <c r="B13" s="26"/>
      <c r="C13" s="26"/>
      <c r="D13" s="28"/>
      <c r="E13" s="26"/>
      <c r="F13" s="28"/>
    </row>
    <row r="14" spans="1:6" x14ac:dyDescent="0.35">
      <c r="A14" s="26"/>
      <c r="B14" s="26"/>
      <c r="C14" s="26"/>
      <c r="D14" s="26"/>
      <c r="E14" s="26"/>
      <c r="F14" s="26"/>
    </row>
    <row r="15" spans="1:6" x14ac:dyDescent="0.35">
      <c r="A15" s="26"/>
      <c r="B15" s="26"/>
      <c r="C15" s="26"/>
      <c r="D15" s="26"/>
      <c r="E15" s="26"/>
      <c r="F15" s="26"/>
    </row>
    <row r="16" spans="1:6" x14ac:dyDescent="0.35">
      <c r="A16" s="26"/>
      <c r="B16" s="26"/>
      <c r="C16" s="26"/>
      <c r="D16" s="26"/>
      <c r="E16" s="26"/>
      <c r="F16"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0256-E16B-4110-989B-CA64B90F98F7}">
  <dimension ref="A1:H16"/>
  <sheetViews>
    <sheetView workbookViewId="0">
      <selection activeCell="F8" sqref="F8"/>
    </sheetView>
  </sheetViews>
  <sheetFormatPr defaultRowHeight="14.5" x14ac:dyDescent="0.35"/>
  <cols>
    <col min="1" max="1" width="16.453125" customWidth="1"/>
    <col min="2" max="2" width="21.453125" customWidth="1"/>
    <col min="4" max="4" width="25.26953125" customWidth="1"/>
    <col min="5" max="5" width="16.26953125" customWidth="1"/>
    <col min="6" max="6" width="18.453125" customWidth="1"/>
  </cols>
  <sheetData>
    <row r="1" spans="1:8" x14ac:dyDescent="0.35">
      <c r="A1" s="26"/>
      <c r="B1" s="26"/>
      <c r="C1" s="26"/>
      <c r="D1" s="26" t="s">
        <v>306</v>
      </c>
      <c r="E1" s="26"/>
      <c r="F1" s="26"/>
      <c r="G1" s="26"/>
      <c r="H1" s="26"/>
    </row>
    <row r="2" spans="1:8" x14ac:dyDescent="0.35">
      <c r="A2" s="26"/>
      <c r="B2" s="26"/>
      <c r="C2" s="26"/>
      <c r="D2" s="26" t="s">
        <v>264</v>
      </c>
      <c r="E2" s="26"/>
      <c r="F2" s="26"/>
      <c r="G2" s="26"/>
      <c r="H2" s="26"/>
    </row>
    <row r="3" spans="1:8" x14ac:dyDescent="0.35">
      <c r="A3" s="26" t="s">
        <v>265</v>
      </c>
      <c r="B3" s="26" t="s">
        <v>266</v>
      </c>
      <c r="C3" s="26" t="s">
        <v>267</v>
      </c>
      <c r="D3" s="44" t="s">
        <v>307</v>
      </c>
      <c r="E3" s="44" t="s">
        <v>308</v>
      </c>
      <c r="F3" s="44" t="s">
        <v>309</v>
      </c>
      <c r="G3" s="26" t="s">
        <v>271</v>
      </c>
      <c r="H3" s="26" t="s">
        <v>272</v>
      </c>
    </row>
    <row r="4" spans="1:8" x14ac:dyDescent="0.35">
      <c r="A4" s="45">
        <v>46112</v>
      </c>
      <c r="B4" s="45" t="s">
        <v>310</v>
      </c>
      <c r="C4" s="45" t="s">
        <v>311</v>
      </c>
      <c r="D4" s="28">
        <v>0</v>
      </c>
      <c r="E4" s="28">
        <v>0</v>
      </c>
      <c r="F4" s="28">
        <v>0</v>
      </c>
      <c r="G4" s="26" t="s">
        <v>276</v>
      </c>
      <c r="H4" s="28" t="s">
        <v>277</v>
      </c>
    </row>
    <row r="5" spans="1:8" x14ac:dyDescent="0.35">
      <c r="A5" s="45">
        <v>46112</v>
      </c>
      <c r="B5" s="26" t="s">
        <v>312</v>
      </c>
      <c r="C5" s="45" t="s">
        <v>311</v>
      </c>
      <c r="D5" s="28">
        <v>0</v>
      </c>
      <c r="E5" s="28">
        <v>0</v>
      </c>
      <c r="F5" s="28">
        <v>0</v>
      </c>
      <c r="G5" s="26" t="s">
        <v>276</v>
      </c>
      <c r="H5" s="28" t="s">
        <v>277</v>
      </c>
    </row>
    <row r="6" spans="1:8" x14ac:dyDescent="0.35">
      <c r="A6" s="45"/>
      <c r="B6" s="26"/>
      <c r="C6" s="26"/>
      <c r="D6" s="28"/>
      <c r="E6" s="28"/>
      <c r="F6" s="28"/>
      <c r="G6" s="26"/>
      <c r="H6" s="28"/>
    </row>
    <row r="7" spans="1:8" x14ac:dyDescent="0.35">
      <c r="A7" s="45"/>
      <c r="B7" s="26"/>
      <c r="C7" s="26"/>
      <c r="D7" s="28"/>
      <c r="E7" s="28"/>
      <c r="F7" s="28"/>
      <c r="G7" s="26"/>
      <c r="H7" s="28"/>
    </row>
    <row r="8" spans="1:8" x14ac:dyDescent="0.35">
      <c r="A8" s="45"/>
      <c r="B8" s="26"/>
      <c r="C8" s="26"/>
      <c r="D8" s="28"/>
      <c r="E8" s="28"/>
      <c r="F8" s="28"/>
      <c r="G8" s="26"/>
      <c r="H8" s="28"/>
    </row>
    <row r="9" spans="1:8" x14ac:dyDescent="0.35">
      <c r="A9" s="45"/>
      <c r="B9" s="26"/>
      <c r="C9" s="26"/>
      <c r="D9" s="28"/>
      <c r="E9" s="28"/>
      <c r="F9" s="28"/>
      <c r="G9" s="26"/>
      <c r="H9" s="28"/>
    </row>
    <row r="10" spans="1:8" x14ac:dyDescent="0.35">
      <c r="A10" s="45"/>
      <c r="B10" s="26"/>
      <c r="C10" s="26"/>
      <c r="D10" s="28"/>
      <c r="E10" s="28"/>
      <c r="F10" s="28"/>
      <c r="G10" s="26"/>
      <c r="H10" s="28"/>
    </row>
    <row r="11" spans="1:8" x14ac:dyDescent="0.35">
      <c r="A11" s="45"/>
      <c r="B11" s="26"/>
      <c r="C11" s="26"/>
      <c r="D11" s="28"/>
      <c r="E11" s="28"/>
      <c r="F11" s="28"/>
      <c r="G11" s="26"/>
      <c r="H11" s="28"/>
    </row>
    <row r="12" spans="1:8" x14ac:dyDescent="0.35">
      <c r="A12" s="45"/>
      <c r="B12" s="26"/>
      <c r="C12" s="26"/>
      <c r="D12" s="28"/>
      <c r="E12" s="28"/>
      <c r="F12" s="28"/>
      <c r="G12" s="26"/>
      <c r="H12" s="28"/>
    </row>
    <row r="13" spans="1:8" x14ac:dyDescent="0.35">
      <c r="A13" s="45"/>
      <c r="B13" s="26"/>
      <c r="C13" s="26"/>
      <c r="D13" s="28"/>
      <c r="E13" s="28"/>
      <c r="F13" s="28"/>
      <c r="G13" s="26"/>
      <c r="H13" s="28"/>
    </row>
    <row r="14" spans="1:8" x14ac:dyDescent="0.35">
      <c r="A14" s="26"/>
      <c r="B14" s="26"/>
      <c r="C14" s="26"/>
      <c r="D14" s="26"/>
      <c r="E14" s="26"/>
      <c r="F14" s="26"/>
      <c r="G14" s="26"/>
      <c r="H14" s="26"/>
    </row>
    <row r="15" spans="1:8" x14ac:dyDescent="0.35">
      <c r="A15" s="26"/>
      <c r="B15" s="26"/>
      <c r="C15" s="26"/>
      <c r="D15" s="26"/>
      <c r="E15" s="26"/>
      <c r="F15" s="26"/>
      <c r="G15" s="26"/>
      <c r="H15" s="26"/>
    </row>
    <row r="16" spans="1:8" x14ac:dyDescent="0.35">
      <c r="A16" s="26"/>
      <c r="B16" s="26"/>
      <c r="C16" s="26"/>
      <c r="D16" s="26"/>
      <c r="E16" s="26"/>
      <c r="F16" s="26"/>
      <c r="G16" s="26"/>
      <c r="H16"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B6B5-3B19-4A2E-BCC8-67DE89E828A7}">
  <dimension ref="A1:K16"/>
  <sheetViews>
    <sheetView workbookViewId="0">
      <selection activeCell="E12" sqref="E12"/>
    </sheetView>
  </sheetViews>
  <sheetFormatPr defaultRowHeight="14.5" x14ac:dyDescent="0.35"/>
  <cols>
    <col min="1" max="1" width="16.453125" customWidth="1"/>
    <col min="2" max="2" width="21.453125" customWidth="1"/>
    <col min="4" max="4" width="25.26953125" customWidth="1"/>
    <col min="5" max="5" width="16.26953125" customWidth="1"/>
    <col min="6" max="9" width="18.453125" customWidth="1"/>
  </cols>
  <sheetData>
    <row r="1" spans="1:11" x14ac:dyDescent="0.35">
      <c r="A1" s="26"/>
      <c r="B1" s="26"/>
      <c r="C1" s="26"/>
      <c r="D1" s="26" t="s">
        <v>313</v>
      </c>
      <c r="E1" s="26"/>
      <c r="F1" s="26"/>
      <c r="G1" s="26"/>
      <c r="H1" s="26"/>
      <c r="I1" s="26"/>
      <c r="J1" s="26"/>
      <c r="K1" s="26"/>
    </row>
    <row r="2" spans="1:11" x14ac:dyDescent="0.35">
      <c r="A2" s="26"/>
      <c r="B2" s="26"/>
      <c r="C2" s="26"/>
      <c r="D2" s="26" t="s">
        <v>264</v>
      </c>
      <c r="E2" s="26"/>
      <c r="F2" s="26"/>
      <c r="G2" s="26"/>
      <c r="H2" s="26"/>
      <c r="I2" s="26"/>
      <c r="J2" s="26"/>
      <c r="K2" s="26"/>
    </row>
    <row r="3" spans="1:11" x14ac:dyDescent="0.35">
      <c r="A3" s="26" t="s">
        <v>265</v>
      </c>
      <c r="B3" s="26" t="s">
        <v>314</v>
      </c>
      <c r="C3" s="26" t="s">
        <v>267</v>
      </c>
      <c r="D3" s="44" t="s">
        <v>315</v>
      </c>
      <c r="E3" s="44" t="s">
        <v>308</v>
      </c>
      <c r="F3" s="44" t="s">
        <v>309</v>
      </c>
      <c r="G3" s="44" t="s">
        <v>316</v>
      </c>
      <c r="H3" s="44" t="s">
        <v>317</v>
      </c>
      <c r="I3" s="44" t="s">
        <v>318</v>
      </c>
      <c r="J3" s="26" t="s">
        <v>271</v>
      </c>
      <c r="K3" s="26" t="s">
        <v>272</v>
      </c>
    </row>
    <row r="4" spans="1:11" x14ac:dyDescent="0.35">
      <c r="A4" s="45">
        <v>46199</v>
      </c>
      <c r="B4" s="45" t="s">
        <v>319</v>
      </c>
      <c r="C4" s="45" t="s">
        <v>320</v>
      </c>
      <c r="D4" s="28" t="s">
        <v>321</v>
      </c>
      <c r="E4" s="28" t="s">
        <v>322</v>
      </c>
      <c r="F4" s="28" t="s">
        <v>322</v>
      </c>
      <c r="G4" s="28" t="s">
        <v>242</v>
      </c>
      <c r="H4" s="28" t="s">
        <v>322</v>
      </c>
      <c r="I4" s="28" t="s">
        <v>322</v>
      </c>
      <c r="J4" s="26" t="s">
        <v>276</v>
      </c>
      <c r="K4" s="28" t="s">
        <v>277</v>
      </c>
    </row>
    <row r="5" spans="1:11" x14ac:dyDescent="0.35">
      <c r="A5" s="45"/>
      <c r="B5" s="26"/>
      <c r="C5" s="45"/>
      <c r="D5" s="47" t="s">
        <v>323</v>
      </c>
      <c r="E5" s="47" t="s">
        <v>324</v>
      </c>
      <c r="F5" s="47" t="s">
        <v>242</v>
      </c>
      <c r="G5" s="47" t="s">
        <v>242</v>
      </c>
      <c r="H5" s="47" t="s">
        <v>325</v>
      </c>
      <c r="I5" s="47" t="s">
        <v>326</v>
      </c>
      <c r="J5" s="26"/>
      <c r="K5" s="28"/>
    </row>
    <row r="6" spans="1:11" x14ac:dyDescent="0.35">
      <c r="A6" s="45"/>
      <c r="B6" s="26"/>
      <c r="C6" s="26"/>
      <c r="D6" s="28"/>
      <c r="E6" s="28"/>
      <c r="F6" s="28"/>
      <c r="G6" s="28"/>
      <c r="H6" s="28"/>
      <c r="I6" s="28"/>
      <c r="J6" s="26"/>
      <c r="K6" s="28"/>
    </row>
    <row r="7" spans="1:11" x14ac:dyDescent="0.35">
      <c r="A7" s="45"/>
      <c r="B7" s="26"/>
      <c r="C7" s="26"/>
      <c r="D7" s="28"/>
      <c r="E7" s="28"/>
      <c r="F7" s="28"/>
      <c r="G7" s="28"/>
      <c r="H7" s="28"/>
      <c r="I7" s="28"/>
      <c r="J7" s="26"/>
      <c r="K7" s="28"/>
    </row>
    <row r="8" spans="1:11" x14ac:dyDescent="0.35">
      <c r="A8" s="45"/>
      <c r="B8" s="26"/>
      <c r="C8" s="26"/>
      <c r="D8" s="28"/>
      <c r="E8" s="28"/>
      <c r="F8" s="28"/>
      <c r="G8" s="28"/>
      <c r="H8" s="28"/>
      <c r="I8" s="28"/>
      <c r="J8" s="26"/>
      <c r="K8" s="28"/>
    </row>
    <row r="9" spans="1:11" x14ac:dyDescent="0.35">
      <c r="A9" s="45"/>
      <c r="B9" s="26"/>
      <c r="C9" s="26"/>
      <c r="D9" s="28"/>
      <c r="E9" s="28"/>
      <c r="F9" s="28"/>
      <c r="G9" s="28"/>
      <c r="H9" s="28"/>
      <c r="I9" s="28"/>
      <c r="J9" s="26"/>
      <c r="K9" s="28"/>
    </row>
    <row r="10" spans="1:11" x14ac:dyDescent="0.35">
      <c r="A10" s="45"/>
      <c r="B10" s="26"/>
      <c r="C10" s="26"/>
      <c r="D10" s="28"/>
      <c r="E10" s="28"/>
      <c r="F10" s="28"/>
      <c r="G10" s="28"/>
      <c r="H10" s="28"/>
      <c r="I10" s="28"/>
      <c r="J10" s="26"/>
      <c r="K10" s="28"/>
    </row>
    <row r="11" spans="1:11" x14ac:dyDescent="0.35">
      <c r="A11" s="45"/>
      <c r="B11" s="26"/>
      <c r="C11" s="26"/>
      <c r="D11" s="28"/>
      <c r="E11" s="28"/>
      <c r="F11" s="28"/>
      <c r="G11" s="28"/>
      <c r="H11" s="28"/>
      <c r="I11" s="28"/>
      <c r="J11" s="26"/>
      <c r="K11" s="28"/>
    </row>
    <row r="12" spans="1:11" x14ac:dyDescent="0.35">
      <c r="A12" s="45"/>
      <c r="B12" s="26"/>
      <c r="C12" s="26"/>
      <c r="D12" s="28"/>
      <c r="E12" s="28"/>
      <c r="F12" s="28"/>
      <c r="G12" s="28"/>
      <c r="H12" s="28"/>
      <c r="I12" s="28"/>
      <c r="J12" s="26"/>
      <c r="K12" s="28"/>
    </row>
    <row r="13" spans="1:11" x14ac:dyDescent="0.35">
      <c r="A13" s="45"/>
      <c r="B13" s="26"/>
      <c r="C13" s="26"/>
      <c r="D13" s="28"/>
      <c r="E13" s="28"/>
      <c r="F13" s="28"/>
      <c r="G13" s="28"/>
      <c r="H13" s="28"/>
      <c r="I13" s="28"/>
      <c r="J13" s="26"/>
      <c r="K13" s="28"/>
    </row>
    <row r="14" spans="1:11" x14ac:dyDescent="0.35">
      <c r="A14" s="26"/>
      <c r="B14" s="26"/>
      <c r="C14" s="26"/>
      <c r="D14" s="26"/>
      <c r="E14" s="26"/>
      <c r="F14" s="26"/>
      <c r="G14" s="26"/>
      <c r="H14" s="26"/>
      <c r="I14" s="26"/>
      <c r="J14" s="26"/>
      <c r="K14" s="26"/>
    </row>
    <row r="15" spans="1:11" x14ac:dyDescent="0.35">
      <c r="A15" s="26"/>
      <c r="B15" s="26"/>
      <c r="C15" s="26"/>
      <c r="D15" s="26"/>
      <c r="E15" s="26"/>
      <c r="F15" s="26"/>
      <c r="G15" s="26"/>
      <c r="H15" s="26"/>
      <c r="I15" s="26"/>
      <c r="J15" s="26"/>
      <c r="K15" s="26"/>
    </row>
    <row r="16" spans="1:11" x14ac:dyDescent="0.35">
      <c r="A16" s="26"/>
      <c r="B16" s="26"/>
      <c r="C16" s="26"/>
      <c r="D16" s="26"/>
      <c r="E16" s="26"/>
      <c r="F16" s="26"/>
      <c r="G16" s="26"/>
      <c r="H16" s="26"/>
      <c r="I16" s="26"/>
      <c r="J16" s="26"/>
      <c r="K16" s="26"/>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1C1A-357C-4192-97F6-5D7088E94DB9}">
  <dimension ref="A1:O52"/>
  <sheetViews>
    <sheetView topLeftCell="A29" workbookViewId="0">
      <selection activeCell="P46" sqref="P46"/>
    </sheetView>
  </sheetViews>
  <sheetFormatPr defaultColWidth="8.7265625" defaultRowHeight="15.5" x14ac:dyDescent="0.35"/>
  <cols>
    <col min="1" max="1" width="8.7265625" style="24"/>
    <col min="2" max="2" width="59.453125" style="24" customWidth="1"/>
    <col min="3" max="3" width="9.7265625" style="24" customWidth="1"/>
    <col min="4" max="16384" width="8.7265625" style="24"/>
  </cols>
  <sheetData>
    <row r="1" spans="2:15" x14ac:dyDescent="0.35">
      <c r="B1" s="24" t="s">
        <v>327</v>
      </c>
    </row>
    <row r="2" spans="2:15" ht="37" customHeight="1" x14ac:dyDescent="0.35">
      <c r="B2" s="46" t="s">
        <v>328</v>
      </c>
      <c r="C2" s="25">
        <v>46050</v>
      </c>
      <c r="D2" s="25">
        <v>46078</v>
      </c>
      <c r="E2" s="25">
        <v>46079</v>
      </c>
      <c r="F2" s="24" t="s">
        <v>329</v>
      </c>
      <c r="G2" s="24" t="s">
        <v>8</v>
      </c>
      <c r="H2" s="24" t="s">
        <v>9</v>
      </c>
      <c r="I2" s="24" t="s">
        <v>237</v>
      </c>
      <c r="J2" s="24" t="s">
        <v>238</v>
      </c>
      <c r="K2" s="24" t="s">
        <v>12</v>
      </c>
      <c r="L2" s="24" t="s">
        <v>13</v>
      </c>
      <c r="M2" s="24" t="s">
        <v>239</v>
      </c>
      <c r="N2" s="24" t="s">
        <v>15</v>
      </c>
      <c r="O2" s="24" t="s">
        <v>16</v>
      </c>
    </row>
    <row r="3" spans="2:15" x14ac:dyDescent="0.35">
      <c r="B3" s="24" t="s">
        <v>330</v>
      </c>
      <c r="C3" s="24" t="s">
        <v>242</v>
      </c>
      <c r="D3" s="33"/>
      <c r="E3" s="33"/>
      <c r="F3" s="33"/>
      <c r="G3" s="33"/>
      <c r="H3" s="33"/>
      <c r="I3" s="33"/>
      <c r="J3" s="33"/>
      <c r="K3" s="33"/>
    </row>
    <row r="4" spans="2:15" x14ac:dyDescent="0.35">
      <c r="B4" s="24" t="s">
        <v>331</v>
      </c>
      <c r="C4" s="24" t="s">
        <v>242</v>
      </c>
      <c r="D4" s="33"/>
      <c r="E4" s="33"/>
      <c r="F4" s="33"/>
      <c r="G4" s="33"/>
      <c r="H4" s="33"/>
      <c r="I4" s="33"/>
      <c r="J4" s="33"/>
      <c r="K4" s="33"/>
    </row>
    <row r="5" spans="2:15" x14ac:dyDescent="0.35">
      <c r="B5" s="24" t="s">
        <v>332</v>
      </c>
      <c r="C5" s="24" t="s">
        <v>242</v>
      </c>
      <c r="D5" s="33"/>
      <c r="E5" s="33"/>
      <c r="F5" s="33"/>
      <c r="G5" s="33"/>
      <c r="H5" s="33"/>
      <c r="I5" s="33"/>
      <c r="J5" s="33"/>
      <c r="K5" s="33"/>
    </row>
    <row r="6" spans="2:15" x14ac:dyDescent="0.35">
      <c r="B6" s="24" t="s">
        <v>333</v>
      </c>
      <c r="C6" s="33"/>
      <c r="D6" s="24" t="s">
        <v>242</v>
      </c>
      <c r="E6" s="33"/>
      <c r="F6" s="33"/>
      <c r="G6" s="33"/>
      <c r="H6" s="33"/>
      <c r="I6" s="33"/>
      <c r="J6" s="33"/>
      <c r="K6" s="33"/>
    </row>
    <row r="7" spans="2:15" x14ac:dyDescent="0.35">
      <c r="B7" s="24" t="s">
        <v>334</v>
      </c>
      <c r="C7" s="33"/>
      <c r="D7" s="24" t="s">
        <v>242</v>
      </c>
      <c r="E7" s="33"/>
      <c r="F7" s="33"/>
      <c r="G7" s="33"/>
      <c r="H7" s="33"/>
      <c r="I7" s="33"/>
      <c r="J7" s="33"/>
      <c r="K7" s="33"/>
    </row>
    <row r="8" spans="2:15" x14ac:dyDescent="0.35">
      <c r="B8" s="24" t="s">
        <v>335</v>
      </c>
      <c r="C8" s="33"/>
      <c r="D8" s="24" t="s">
        <v>242</v>
      </c>
      <c r="E8" s="33"/>
      <c r="F8" s="33"/>
      <c r="G8" s="33"/>
      <c r="H8" s="33"/>
      <c r="I8" s="33"/>
      <c r="J8" s="33"/>
      <c r="K8" s="33"/>
    </row>
    <row r="9" spans="2:15" x14ac:dyDescent="0.35">
      <c r="B9" s="24" t="s">
        <v>336</v>
      </c>
      <c r="C9" s="33"/>
      <c r="D9" s="24" t="s">
        <v>242</v>
      </c>
      <c r="E9" s="33"/>
      <c r="F9" s="33"/>
      <c r="G9" s="33"/>
      <c r="H9" s="33"/>
      <c r="I9" s="33"/>
      <c r="J9" s="33"/>
      <c r="K9" s="33"/>
    </row>
    <row r="10" spans="2:15" x14ac:dyDescent="0.35">
      <c r="B10" s="24" t="s">
        <v>337</v>
      </c>
      <c r="C10" s="33"/>
      <c r="D10" s="24" t="s">
        <v>242</v>
      </c>
      <c r="E10" s="24" t="s">
        <v>242</v>
      </c>
      <c r="F10" s="33"/>
      <c r="G10" s="33"/>
      <c r="H10" s="33"/>
      <c r="I10" s="33"/>
      <c r="J10" s="33"/>
      <c r="K10" s="33"/>
    </row>
    <row r="11" spans="2:15" x14ac:dyDescent="0.35">
      <c r="B11" s="52" t="s">
        <v>338</v>
      </c>
      <c r="C11" s="33"/>
      <c r="D11" s="33"/>
      <c r="E11" s="33"/>
      <c r="F11" s="24" t="s">
        <v>242</v>
      </c>
      <c r="G11" s="33"/>
      <c r="H11" s="33"/>
      <c r="I11" s="33"/>
      <c r="J11" s="33"/>
      <c r="K11" s="33"/>
    </row>
    <row r="12" spans="2:15" x14ac:dyDescent="0.35">
      <c r="B12" s="55" t="s">
        <v>339</v>
      </c>
      <c r="C12" s="33"/>
      <c r="D12" s="33"/>
      <c r="E12" s="33"/>
      <c r="F12" s="24" t="s">
        <v>242</v>
      </c>
      <c r="G12" s="33"/>
      <c r="H12" s="33"/>
      <c r="I12" s="33"/>
      <c r="J12" s="33"/>
      <c r="K12" s="33"/>
    </row>
    <row r="13" spans="2:15" x14ac:dyDescent="0.35">
      <c r="B13" s="56" t="s">
        <v>340</v>
      </c>
      <c r="C13" s="33"/>
      <c r="D13" s="33"/>
      <c r="E13" s="33"/>
      <c r="F13" s="24" t="s">
        <v>242</v>
      </c>
      <c r="G13" s="33"/>
      <c r="H13" s="33"/>
      <c r="I13" s="33"/>
      <c r="J13" s="33"/>
      <c r="K13" s="33"/>
    </row>
    <row r="14" spans="2:15" x14ac:dyDescent="0.35">
      <c r="B14" s="52" t="s">
        <v>341</v>
      </c>
      <c r="C14" s="33"/>
      <c r="D14" s="33"/>
      <c r="E14" s="33"/>
      <c r="F14" s="24" t="s">
        <v>242</v>
      </c>
      <c r="G14" s="33"/>
      <c r="H14" s="33"/>
      <c r="I14" s="33"/>
      <c r="J14" s="33"/>
      <c r="K14" s="33"/>
    </row>
    <row r="15" spans="2:15" x14ac:dyDescent="0.35">
      <c r="B15" s="52" t="s">
        <v>342</v>
      </c>
      <c r="C15" s="33"/>
      <c r="D15" s="33"/>
      <c r="E15" s="33"/>
      <c r="F15" s="33"/>
      <c r="G15" s="24" t="s">
        <v>242</v>
      </c>
      <c r="H15" s="33"/>
      <c r="I15" s="33"/>
      <c r="J15" s="33"/>
      <c r="K15" s="33"/>
    </row>
    <row r="16" spans="2:15" x14ac:dyDescent="0.35">
      <c r="B16" s="52" t="s">
        <v>343</v>
      </c>
      <c r="C16" s="33"/>
      <c r="D16" s="33"/>
      <c r="E16" s="33"/>
      <c r="F16" s="33"/>
      <c r="G16" s="24" t="s">
        <v>242</v>
      </c>
      <c r="H16" s="33"/>
      <c r="I16" s="33"/>
      <c r="J16" s="33"/>
      <c r="K16" s="33"/>
    </row>
    <row r="17" spans="1:11" x14ac:dyDescent="0.35">
      <c r="B17" s="55" t="s">
        <v>344</v>
      </c>
      <c r="C17" s="33"/>
      <c r="D17" s="33"/>
      <c r="E17" s="33"/>
      <c r="F17" s="33"/>
      <c r="G17" s="24" t="s">
        <v>242</v>
      </c>
      <c r="H17" s="33"/>
      <c r="I17" s="33"/>
      <c r="J17" s="33"/>
      <c r="K17" s="33"/>
    </row>
    <row r="18" spans="1:11" x14ac:dyDescent="0.35">
      <c r="B18" s="24" t="s">
        <v>345</v>
      </c>
      <c r="C18" s="33"/>
      <c r="D18" s="33"/>
      <c r="E18" s="33"/>
      <c r="F18" s="33"/>
      <c r="G18" s="24" t="s">
        <v>242</v>
      </c>
      <c r="H18" s="33"/>
      <c r="I18" s="33"/>
      <c r="J18" s="33"/>
      <c r="K18" s="33"/>
    </row>
    <row r="19" spans="1:11" x14ac:dyDescent="0.35">
      <c r="B19" s="24" t="s">
        <v>346</v>
      </c>
      <c r="C19" s="33"/>
      <c r="D19" s="33"/>
      <c r="E19" s="33"/>
      <c r="F19" s="33"/>
      <c r="G19" s="24" t="s">
        <v>242</v>
      </c>
      <c r="H19" s="33"/>
      <c r="I19" s="33"/>
      <c r="J19" s="33"/>
      <c r="K19" s="33"/>
    </row>
    <row r="20" spans="1:11" ht="26.25" customHeight="1" x14ac:dyDescent="0.35">
      <c r="B20" s="57" t="s">
        <v>347</v>
      </c>
      <c r="C20" s="33"/>
      <c r="D20" s="33"/>
      <c r="E20" s="33"/>
      <c r="F20" s="33"/>
      <c r="G20" s="33"/>
      <c r="H20" s="24" t="s">
        <v>242</v>
      </c>
      <c r="I20" s="33"/>
      <c r="J20" s="33"/>
      <c r="K20" s="33"/>
    </row>
    <row r="21" spans="1:11" x14ac:dyDescent="0.35">
      <c r="B21" s="24" t="s">
        <v>348</v>
      </c>
      <c r="C21" s="33"/>
      <c r="D21" s="33"/>
      <c r="E21" s="33"/>
      <c r="F21" s="33"/>
      <c r="G21" s="33"/>
      <c r="H21" s="24" t="s">
        <v>242</v>
      </c>
      <c r="I21" s="33"/>
      <c r="J21" s="33"/>
      <c r="K21" s="33"/>
    </row>
    <row r="22" spans="1:11" x14ac:dyDescent="0.35">
      <c r="B22" s="58" t="s">
        <v>349</v>
      </c>
      <c r="C22" s="33"/>
      <c r="D22" s="33"/>
      <c r="E22" s="33"/>
      <c r="F22" s="33"/>
      <c r="G22" s="33"/>
      <c r="H22" s="24" t="s">
        <v>242</v>
      </c>
      <c r="I22" s="33"/>
      <c r="J22" s="33"/>
      <c r="K22" s="33"/>
    </row>
    <row r="23" spans="1:11" x14ac:dyDescent="0.35">
      <c r="B23" s="58" t="s">
        <v>350</v>
      </c>
      <c r="C23" s="33"/>
      <c r="D23" s="33"/>
      <c r="E23" s="33"/>
      <c r="F23" s="33"/>
      <c r="G23" s="33"/>
      <c r="H23" s="24" t="s">
        <v>242</v>
      </c>
      <c r="I23" s="33"/>
      <c r="J23" s="33"/>
      <c r="K23" s="33"/>
    </row>
    <row r="24" spans="1:11" x14ac:dyDescent="0.35">
      <c r="B24" s="58" t="s">
        <v>351</v>
      </c>
      <c r="C24" s="33"/>
      <c r="D24" s="33"/>
      <c r="E24" s="33"/>
      <c r="F24" s="33"/>
      <c r="G24" s="33"/>
      <c r="H24" s="24" t="s">
        <v>242</v>
      </c>
      <c r="I24" s="33"/>
      <c r="J24" s="33"/>
      <c r="K24" s="33"/>
    </row>
    <row r="25" spans="1:11" x14ac:dyDescent="0.35">
      <c r="C25" s="33"/>
      <c r="D25" s="33"/>
      <c r="E25" s="33"/>
      <c r="F25" s="33"/>
      <c r="G25" s="33"/>
      <c r="H25" s="24" t="s">
        <v>242</v>
      </c>
      <c r="I25" s="33"/>
      <c r="J25" s="33"/>
      <c r="K25" s="33"/>
    </row>
    <row r="26" spans="1:11" x14ac:dyDescent="0.35">
      <c r="A26" s="24" t="s">
        <v>280</v>
      </c>
      <c r="B26" s="24" t="s">
        <v>352</v>
      </c>
      <c r="C26" s="33"/>
      <c r="D26" s="33"/>
      <c r="E26" s="33"/>
      <c r="F26" s="33"/>
      <c r="G26" s="33"/>
      <c r="H26" s="33"/>
      <c r="I26" s="24" t="s">
        <v>242</v>
      </c>
      <c r="J26" s="33"/>
      <c r="K26" s="33"/>
    </row>
    <row r="27" spans="1:11" x14ac:dyDescent="0.35">
      <c r="A27" s="24" t="s">
        <v>305</v>
      </c>
      <c r="B27" s="24" t="s">
        <v>353</v>
      </c>
      <c r="C27" s="33"/>
      <c r="D27" s="33"/>
      <c r="E27" s="33"/>
      <c r="F27" s="33"/>
      <c r="G27" s="33"/>
      <c r="H27" s="33"/>
      <c r="I27" s="24" t="s">
        <v>242</v>
      </c>
      <c r="J27" s="33"/>
      <c r="K27" s="33"/>
    </row>
    <row r="28" spans="1:11" x14ac:dyDescent="0.35">
      <c r="A28" s="24" t="s">
        <v>100</v>
      </c>
      <c r="B28" s="24" t="s">
        <v>354</v>
      </c>
      <c r="C28" s="33"/>
      <c r="D28" s="33"/>
      <c r="E28" s="33"/>
      <c r="F28" s="33"/>
      <c r="G28" s="33"/>
      <c r="H28" s="33"/>
      <c r="I28" s="24" t="s">
        <v>242</v>
      </c>
      <c r="J28" s="33"/>
      <c r="K28" s="33"/>
    </row>
    <row r="29" spans="1:11" x14ac:dyDescent="0.35">
      <c r="A29" s="24" t="s">
        <v>355</v>
      </c>
      <c r="B29" s="24" t="s">
        <v>356</v>
      </c>
      <c r="C29" s="33"/>
      <c r="D29" s="33"/>
      <c r="E29" s="33"/>
      <c r="F29" s="33"/>
      <c r="G29" s="33"/>
      <c r="H29" s="33"/>
      <c r="I29" s="24" t="s">
        <v>242</v>
      </c>
      <c r="J29" s="33"/>
      <c r="K29" s="33"/>
    </row>
    <row r="30" spans="1:11" x14ac:dyDescent="0.35">
      <c r="A30" s="24" t="s">
        <v>254</v>
      </c>
      <c r="B30" s="24" t="s">
        <v>357</v>
      </c>
      <c r="C30" s="33"/>
      <c r="D30" s="33"/>
      <c r="E30" s="33"/>
      <c r="F30" s="33"/>
      <c r="G30" s="33"/>
      <c r="H30" s="33"/>
      <c r="I30" s="24" t="s">
        <v>242</v>
      </c>
      <c r="J30" s="33"/>
      <c r="K30" s="33"/>
    </row>
    <row r="31" spans="1:11" x14ac:dyDescent="0.35">
      <c r="A31" s="24" t="s">
        <v>253</v>
      </c>
      <c r="B31" s="52" t="s">
        <v>358</v>
      </c>
      <c r="C31" s="33"/>
      <c r="D31" s="33"/>
      <c r="E31" s="33"/>
      <c r="F31" s="33"/>
      <c r="G31" s="33"/>
      <c r="H31" s="33"/>
      <c r="I31" s="33"/>
      <c r="J31" s="52" t="s">
        <v>242</v>
      </c>
      <c r="K31" s="33"/>
    </row>
    <row r="32" spans="1:11" x14ac:dyDescent="0.35">
      <c r="A32" s="24" t="s">
        <v>359</v>
      </c>
      <c r="B32" s="52" t="s">
        <v>360</v>
      </c>
      <c r="C32" s="33"/>
      <c r="D32" s="33"/>
      <c r="E32" s="33"/>
      <c r="F32" s="33"/>
      <c r="G32" s="33"/>
      <c r="H32" s="33"/>
      <c r="I32" s="33"/>
      <c r="J32" s="52" t="s">
        <v>242</v>
      </c>
      <c r="K32" s="33"/>
    </row>
    <row r="33" spans="1:12" x14ac:dyDescent="0.35">
      <c r="A33" s="24" t="s">
        <v>280</v>
      </c>
      <c r="B33" s="52" t="s">
        <v>361</v>
      </c>
      <c r="C33" s="33"/>
      <c r="D33" s="33"/>
      <c r="E33" s="33"/>
      <c r="F33" s="33"/>
      <c r="G33" s="33"/>
      <c r="H33" s="33"/>
      <c r="I33" s="33"/>
      <c r="J33" s="52" t="s">
        <v>242</v>
      </c>
      <c r="K33" s="33"/>
    </row>
    <row r="34" spans="1:12" x14ac:dyDescent="0.35">
      <c r="A34" s="24" t="s">
        <v>100</v>
      </c>
      <c r="B34" s="52" t="s">
        <v>362</v>
      </c>
      <c r="C34" s="33"/>
      <c r="D34" s="33"/>
      <c r="E34" s="33"/>
      <c r="F34" s="33"/>
      <c r="G34" s="33"/>
      <c r="H34" s="33"/>
      <c r="I34" s="33"/>
      <c r="J34" s="52" t="s">
        <v>242</v>
      </c>
      <c r="K34" s="33"/>
    </row>
    <row r="35" spans="1:12" x14ac:dyDescent="0.35">
      <c r="A35" s="24" t="s">
        <v>363</v>
      </c>
      <c r="B35" s="52" t="s">
        <v>364</v>
      </c>
      <c r="C35" s="33"/>
      <c r="D35" s="33"/>
      <c r="E35" s="33"/>
      <c r="F35" s="33"/>
      <c r="G35" s="33"/>
      <c r="H35" s="33"/>
      <c r="I35" s="33"/>
      <c r="J35" s="52" t="s">
        <v>242</v>
      </c>
      <c r="K35" s="33"/>
    </row>
    <row r="36" spans="1:12" x14ac:dyDescent="0.35">
      <c r="A36" s="24" t="s">
        <v>259</v>
      </c>
      <c r="B36" s="52" t="s">
        <v>365</v>
      </c>
      <c r="C36" s="33"/>
      <c r="D36" s="33"/>
      <c r="E36" s="33"/>
      <c r="F36" s="33"/>
      <c r="G36" s="33"/>
      <c r="H36" s="33"/>
      <c r="I36" s="33"/>
      <c r="J36" s="52" t="s">
        <v>366</v>
      </c>
      <c r="K36" s="33"/>
    </row>
    <row r="37" spans="1:12" x14ac:dyDescent="0.35">
      <c r="A37" s="24" t="s">
        <v>259</v>
      </c>
      <c r="B37" s="52" t="s">
        <v>367</v>
      </c>
      <c r="C37" s="33"/>
      <c r="D37" s="33"/>
      <c r="E37" s="33"/>
      <c r="F37" s="33"/>
      <c r="G37" s="33"/>
      <c r="H37" s="33"/>
      <c r="I37" s="33"/>
      <c r="J37" s="52" t="s">
        <v>368</v>
      </c>
      <c r="K37" s="33"/>
    </row>
    <row r="38" spans="1:12" x14ac:dyDescent="0.35">
      <c r="A38" s="24" t="s">
        <v>259</v>
      </c>
      <c r="B38" s="52" t="s">
        <v>369</v>
      </c>
      <c r="C38" s="33"/>
      <c r="D38" s="33"/>
      <c r="E38" s="33"/>
      <c r="F38" s="33"/>
      <c r="G38" s="33"/>
      <c r="H38" s="33"/>
      <c r="I38" s="33"/>
      <c r="J38" s="52" t="s">
        <v>370</v>
      </c>
      <c r="K38" s="33"/>
    </row>
    <row r="39" spans="1:12" x14ac:dyDescent="0.35">
      <c r="A39" s="24" t="s">
        <v>259</v>
      </c>
      <c r="B39" s="52" t="s">
        <v>371</v>
      </c>
      <c r="C39" s="33"/>
      <c r="D39" s="33"/>
      <c r="E39" s="33"/>
      <c r="F39" s="33"/>
      <c r="G39" s="33"/>
      <c r="H39" s="33"/>
      <c r="I39" s="33"/>
      <c r="J39" s="52" t="s">
        <v>372</v>
      </c>
      <c r="K39" s="33"/>
    </row>
    <row r="40" spans="1:12" x14ac:dyDescent="0.35">
      <c r="A40" s="24" t="s">
        <v>259</v>
      </c>
      <c r="B40" s="52" t="s">
        <v>373</v>
      </c>
      <c r="C40" s="33"/>
      <c r="D40" s="33"/>
      <c r="E40" s="33"/>
      <c r="F40" s="33"/>
      <c r="G40" s="33"/>
      <c r="H40" s="33"/>
      <c r="I40" s="33"/>
      <c r="J40" s="52" t="s">
        <v>374</v>
      </c>
      <c r="K40" s="33"/>
    </row>
    <row r="41" spans="1:12" x14ac:dyDescent="0.35">
      <c r="A41" s="24" t="s">
        <v>259</v>
      </c>
      <c r="B41" s="52" t="s">
        <v>375</v>
      </c>
      <c r="C41" s="33"/>
      <c r="D41" s="33"/>
      <c r="E41" s="33"/>
      <c r="F41" s="33"/>
      <c r="G41" s="33"/>
      <c r="H41" s="33"/>
      <c r="I41" s="33"/>
      <c r="J41" s="52">
        <v>0.69</v>
      </c>
      <c r="K41" s="33"/>
      <c r="L41" s="33"/>
    </row>
    <row r="42" spans="1:12" x14ac:dyDescent="0.35">
      <c r="A42" s="24" t="s">
        <v>305</v>
      </c>
      <c r="B42" s="52" t="s">
        <v>376</v>
      </c>
      <c r="C42" s="33"/>
      <c r="D42" s="33"/>
      <c r="E42" s="33"/>
      <c r="F42" s="33"/>
      <c r="G42" s="33"/>
      <c r="H42" s="33"/>
      <c r="I42" s="33"/>
      <c r="J42" s="33"/>
      <c r="K42" s="52" t="s">
        <v>242</v>
      </c>
      <c r="L42" s="33"/>
    </row>
    <row r="43" spans="1:12" x14ac:dyDescent="0.35">
      <c r="A43" s="24" t="s">
        <v>259</v>
      </c>
      <c r="B43" s="52" t="s">
        <v>377</v>
      </c>
      <c r="C43" s="33"/>
      <c r="D43" s="33"/>
      <c r="E43" s="33"/>
      <c r="F43" s="33"/>
      <c r="G43" s="33"/>
      <c r="H43" s="33"/>
      <c r="I43" s="33"/>
      <c r="J43" s="33"/>
      <c r="K43" s="52" t="s">
        <v>378</v>
      </c>
      <c r="L43" s="33"/>
    </row>
    <row r="44" spans="1:12" x14ac:dyDescent="0.35">
      <c r="A44" s="24" t="s">
        <v>305</v>
      </c>
      <c r="B44" s="52" t="s">
        <v>379</v>
      </c>
      <c r="C44" s="33"/>
      <c r="D44" s="33"/>
      <c r="E44" s="33"/>
      <c r="F44" s="33"/>
      <c r="G44" s="33"/>
      <c r="H44" s="33"/>
      <c r="I44" s="33"/>
      <c r="J44" s="33"/>
      <c r="K44" s="52" t="s">
        <v>242</v>
      </c>
      <c r="L44" s="33"/>
    </row>
    <row r="45" spans="1:12" x14ac:dyDescent="0.35">
      <c r="A45" s="24" t="s">
        <v>280</v>
      </c>
      <c r="B45" s="52" t="s">
        <v>380</v>
      </c>
      <c r="C45" s="33"/>
      <c r="D45" s="33"/>
      <c r="E45" s="33"/>
      <c r="F45" s="33"/>
      <c r="G45" s="33"/>
      <c r="H45" s="33"/>
      <c r="I45" s="33"/>
      <c r="J45" s="33"/>
      <c r="K45" s="52" t="s">
        <v>242</v>
      </c>
      <c r="L45" s="33"/>
    </row>
    <row r="46" spans="1:12" x14ac:dyDescent="0.35">
      <c r="A46" s="24" t="s">
        <v>100</v>
      </c>
      <c r="B46" s="52" t="s">
        <v>381</v>
      </c>
      <c r="C46" s="33"/>
      <c r="D46" s="33"/>
      <c r="E46" s="33"/>
      <c r="F46" s="33"/>
      <c r="G46" s="33"/>
      <c r="H46" s="33"/>
      <c r="I46" s="33"/>
      <c r="J46" s="33"/>
      <c r="K46" s="52" t="s">
        <v>242</v>
      </c>
      <c r="L46" s="33"/>
    </row>
    <row r="47" spans="1:12" x14ac:dyDescent="0.35">
      <c r="A47" s="24" t="s">
        <v>355</v>
      </c>
      <c r="B47" s="52" t="s">
        <v>382</v>
      </c>
      <c r="C47" s="33"/>
      <c r="D47" s="33"/>
      <c r="E47" s="33"/>
      <c r="F47" s="33"/>
      <c r="G47" s="33"/>
      <c r="H47" s="33"/>
      <c r="I47" s="33"/>
      <c r="J47" s="33"/>
      <c r="K47" s="52" t="s">
        <v>242</v>
      </c>
      <c r="L47" s="33"/>
    </row>
    <row r="48" spans="1:12" x14ac:dyDescent="0.35">
      <c r="A48" s="24" t="s">
        <v>363</v>
      </c>
      <c r="B48" s="24" t="s">
        <v>383</v>
      </c>
      <c r="C48" s="33"/>
      <c r="D48" s="33"/>
      <c r="E48" s="33"/>
      <c r="F48" s="33"/>
      <c r="G48" s="33"/>
      <c r="H48" s="33"/>
      <c r="I48" s="33"/>
      <c r="J48" s="33"/>
      <c r="K48" s="52" t="s">
        <v>242</v>
      </c>
      <c r="L48" s="33"/>
    </row>
    <row r="49" spans="11:11" x14ac:dyDescent="0.35">
      <c r="K49" s="52"/>
    </row>
    <row r="50" spans="11:11" x14ac:dyDescent="0.35">
      <c r="K50" s="52"/>
    </row>
    <row r="51" spans="11:11" x14ac:dyDescent="0.35">
      <c r="K51" s="52"/>
    </row>
    <row r="52" spans="11:11" x14ac:dyDescent="0.35">
      <c r="K52" s="5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9EFCE-01FD-4887-8E6B-B87CA4AB2C3B}">
  <dimension ref="A1:F16"/>
  <sheetViews>
    <sheetView workbookViewId="0">
      <selection activeCell="I9" sqref="I9"/>
    </sheetView>
  </sheetViews>
  <sheetFormatPr defaultRowHeight="14.5" x14ac:dyDescent="0.35"/>
  <cols>
    <col min="1" max="1" width="16.453125" customWidth="1"/>
    <col min="2" max="2" width="21.453125" customWidth="1"/>
    <col min="4" max="4" width="25.26953125" customWidth="1"/>
  </cols>
  <sheetData>
    <row r="1" spans="1:6" x14ac:dyDescent="0.35">
      <c r="A1" s="26"/>
      <c r="B1" s="26"/>
      <c r="C1" s="26"/>
      <c r="D1" s="26" t="s">
        <v>384</v>
      </c>
      <c r="E1" s="26"/>
      <c r="F1" s="26"/>
    </row>
    <row r="2" spans="1:6" x14ac:dyDescent="0.35">
      <c r="A2" s="26"/>
      <c r="B2" s="26"/>
      <c r="C2" s="26"/>
      <c r="D2" s="26" t="s">
        <v>385</v>
      </c>
      <c r="E2" s="26"/>
      <c r="F2" s="26"/>
    </row>
    <row r="3" spans="1:6" x14ac:dyDescent="0.35">
      <c r="A3" s="26" t="s">
        <v>265</v>
      </c>
      <c r="B3" s="26" t="s">
        <v>386</v>
      </c>
      <c r="C3" s="26" t="s">
        <v>267</v>
      </c>
      <c r="D3" s="44" t="s">
        <v>387</v>
      </c>
      <c r="E3" s="26" t="s">
        <v>271</v>
      </c>
      <c r="F3" s="26" t="s">
        <v>272</v>
      </c>
    </row>
    <row r="4" spans="1:6" x14ac:dyDescent="0.35">
      <c r="A4" s="45">
        <v>46203</v>
      </c>
      <c r="B4" s="45" t="s">
        <v>388</v>
      </c>
      <c r="C4" s="45" t="s">
        <v>68</v>
      </c>
      <c r="D4" s="28">
        <v>2</v>
      </c>
      <c r="E4" s="26" t="s">
        <v>276</v>
      </c>
      <c r="F4" s="28" t="s">
        <v>277</v>
      </c>
    </row>
    <row r="5" spans="1:6" x14ac:dyDescent="0.35">
      <c r="A5" s="45">
        <v>46203</v>
      </c>
      <c r="B5" s="26" t="s">
        <v>389</v>
      </c>
      <c r="C5" s="45" t="s">
        <v>68</v>
      </c>
      <c r="D5" s="28">
        <v>5</v>
      </c>
      <c r="E5" s="26" t="s">
        <v>276</v>
      </c>
      <c r="F5" s="28" t="s">
        <v>277</v>
      </c>
    </row>
    <row r="6" spans="1:6" x14ac:dyDescent="0.35">
      <c r="A6" s="45">
        <v>46203</v>
      </c>
      <c r="B6" s="26" t="s">
        <v>390</v>
      </c>
      <c r="C6" s="45" t="s">
        <v>68</v>
      </c>
      <c r="D6" s="28">
        <v>7</v>
      </c>
      <c r="E6" s="26" t="s">
        <v>276</v>
      </c>
      <c r="F6" s="28" t="s">
        <v>277</v>
      </c>
    </row>
    <row r="7" spans="1:6" x14ac:dyDescent="0.35">
      <c r="A7" s="45">
        <v>46203</v>
      </c>
      <c r="B7" s="26" t="s">
        <v>391</v>
      </c>
      <c r="C7" s="45" t="s">
        <v>68</v>
      </c>
      <c r="D7" s="28">
        <v>0</v>
      </c>
      <c r="E7" s="26" t="s">
        <v>276</v>
      </c>
      <c r="F7" s="28" t="s">
        <v>277</v>
      </c>
    </row>
    <row r="8" spans="1:6" x14ac:dyDescent="0.35">
      <c r="A8" s="45">
        <v>46203</v>
      </c>
      <c r="B8" s="26" t="s">
        <v>392</v>
      </c>
      <c r="C8" s="45" t="s">
        <v>68</v>
      </c>
      <c r="D8" s="28">
        <v>3</v>
      </c>
      <c r="E8" s="26" t="s">
        <v>276</v>
      </c>
      <c r="F8" s="28" t="s">
        <v>277</v>
      </c>
    </row>
    <row r="9" spans="1:6" x14ac:dyDescent="0.35">
      <c r="A9" s="45">
        <v>46203</v>
      </c>
      <c r="B9" s="26" t="s">
        <v>393</v>
      </c>
      <c r="C9" s="45" t="s">
        <v>68</v>
      </c>
      <c r="D9" s="28">
        <v>4</v>
      </c>
      <c r="E9" s="26" t="s">
        <v>276</v>
      </c>
      <c r="F9" s="28" t="s">
        <v>277</v>
      </c>
    </row>
    <row r="10" spans="1:6" x14ac:dyDescent="0.35">
      <c r="A10" s="45">
        <v>46203</v>
      </c>
      <c r="B10" s="26" t="s">
        <v>394</v>
      </c>
      <c r="C10" s="45" t="s">
        <v>68</v>
      </c>
      <c r="D10" s="28">
        <v>5</v>
      </c>
      <c r="E10" s="26" t="s">
        <v>276</v>
      </c>
      <c r="F10" s="28" t="s">
        <v>277</v>
      </c>
    </row>
    <row r="11" spans="1:6" x14ac:dyDescent="0.35">
      <c r="A11" s="45">
        <v>46203</v>
      </c>
      <c r="B11" s="26" t="s">
        <v>395</v>
      </c>
      <c r="C11" s="45" t="s">
        <v>68</v>
      </c>
      <c r="D11" s="28">
        <v>2</v>
      </c>
      <c r="E11" s="26" t="s">
        <v>276</v>
      </c>
      <c r="F11" s="28" t="s">
        <v>277</v>
      </c>
    </row>
    <row r="12" spans="1:6" x14ac:dyDescent="0.35">
      <c r="A12" s="45">
        <v>46203</v>
      </c>
      <c r="B12" s="26" t="s">
        <v>396</v>
      </c>
      <c r="C12" s="45" t="s">
        <v>68</v>
      </c>
      <c r="D12" s="28">
        <v>0</v>
      </c>
      <c r="E12" s="26" t="s">
        <v>276</v>
      </c>
      <c r="F12" s="28" t="s">
        <v>277</v>
      </c>
    </row>
    <row r="13" spans="1:6" x14ac:dyDescent="0.35">
      <c r="A13" s="45">
        <v>46203</v>
      </c>
      <c r="B13" s="26" t="s">
        <v>397</v>
      </c>
      <c r="C13" s="45" t="s">
        <v>68</v>
      </c>
      <c r="D13" s="28">
        <v>1</v>
      </c>
      <c r="E13" s="26" t="s">
        <v>276</v>
      </c>
      <c r="F13" s="28" t="s">
        <v>277</v>
      </c>
    </row>
    <row r="14" spans="1:6" x14ac:dyDescent="0.35">
      <c r="A14" s="26"/>
      <c r="B14" s="26"/>
      <c r="C14" s="26"/>
      <c r="D14" s="26"/>
      <c r="E14" s="26"/>
      <c r="F14" s="26"/>
    </row>
    <row r="15" spans="1:6" x14ac:dyDescent="0.35">
      <c r="A15" s="26"/>
      <c r="B15" s="26"/>
      <c r="C15" s="26"/>
      <c r="D15" s="26"/>
      <c r="E15" s="26"/>
      <c r="F15" s="26"/>
    </row>
    <row r="16" spans="1:6" x14ac:dyDescent="0.35">
      <c r="A16" s="26"/>
      <c r="B16" s="26"/>
      <c r="C16" s="26"/>
      <c r="D16" s="26"/>
      <c r="E16" s="26"/>
      <c r="F16" s="2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7C31-BE47-441E-81BA-160341082309}">
  <dimension ref="A4:J22"/>
  <sheetViews>
    <sheetView workbookViewId="0">
      <selection activeCell="L12" sqref="L12"/>
    </sheetView>
  </sheetViews>
  <sheetFormatPr defaultRowHeight="14.5" x14ac:dyDescent="0.35"/>
  <cols>
    <col min="1" max="1" width="21.26953125" customWidth="1"/>
  </cols>
  <sheetData>
    <row r="4" spans="1:10" x14ac:dyDescent="0.35">
      <c r="A4" t="s">
        <v>398</v>
      </c>
      <c r="D4" t="s">
        <v>399</v>
      </c>
      <c r="G4" t="s">
        <v>400</v>
      </c>
      <c r="J4" t="s">
        <v>401</v>
      </c>
    </row>
    <row r="5" spans="1:10" x14ac:dyDescent="0.35">
      <c r="A5" t="s">
        <v>402</v>
      </c>
      <c r="D5" t="s">
        <v>403</v>
      </c>
      <c r="G5" t="s">
        <v>404</v>
      </c>
      <c r="J5" t="s">
        <v>405</v>
      </c>
    </row>
    <row r="6" spans="1:10" x14ac:dyDescent="0.35">
      <c r="A6" t="s">
        <v>406</v>
      </c>
      <c r="D6" t="s">
        <v>407</v>
      </c>
      <c r="G6" t="s">
        <v>408</v>
      </c>
      <c r="J6" t="s">
        <v>409</v>
      </c>
    </row>
    <row r="7" spans="1:10" x14ac:dyDescent="0.35">
      <c r="A7" t="s">
        <v>410</v>
      </c>
      <c r="D7" t="s">
        <v>411</v>
      </c>
      <c r="G7" t="s">
        <v>412</v>
      </c>
      <c r="J7" t="s">
        <v>413</v>
      </c>
    </row>
    <row r="8" spans="1:10" x14ac:dyDescent="0.35">
      <c r="A8" t="s">
        <v>414</v>
      </c>
      <c r="D8" t="s">
        <v>415</v>
      </c>
      <c r="G8" t="s">
        <v>416</v>
      </c>
      <c r="J8" t="s">
        <v>417</v>
      </c>
    </row>
    <row r="9" spans="1:10" x14ac:dyDescent="0.35">
      <c r="A9" t="s">
        <v>418</v>
      </c>
      <c r="D9" t="s">
        <v>419</v>
      </c>
      <c r="G9" s="54" t="s">
        <v>420</v>
      </c>
      <c r="J9" t="s">
        <v>421</v>
      </c>
    </row>
    <row r="10" spans="1:10" x14ac:dyDescent="0.35">
      <c r="A10" t="s">
        <v>422</v>
      </c>
      <c r="D10" t="s">
        <v>423</v>
      </c>
      <c r="G10" t="s">
        <v>424</v>
      </c>
      <c r="J10" t="s">
        <v>425</v>
      </c>
    </row>
    <row r="11" spans="1:10" x14ac:dyDescent="0.35">
      <c r="A11" t="s">
        <v>426</v>
      </c>
      <c r="D11" t="s">
        <v>420</v>
      </c>
      <c r="G11" t="s">
        <v>427</v>
      </c>
      <c r="J11" t="s">
        <v>428</v>
      </c>
    </row>
    <row r="12" spans="1:10" x14ac:dyDescent="0.35">
      <c r="A12" t="s">
        <v>429</v>
      </c>
      <c r="D12" t="s">
        <v>430</v>
      </c>
      <c r="G12" t="s">
        <v>431</v>
      </c>
      <c r="J12" t="s">
        <v>432</v>
      </c>
    </row>
    <row r="13" spans="1:10" x14ac:dyDescent="0.35">
      <c r="A13" t="s">
        <v>433</v>
      </c>
      <c r="D13" t="s">
        <v>434</v>
      </c>
      <c r="G13" t="s">
        <v>435</v>
      </c>
      <c r="J13" t="s">
        <v>436</v>
      </c>
    </row>
    <row r="14" spans="1:10" x14ac:dyDescent="0.35">
      <c r="A14" t="s">
        <v>437</v>
      </c>
      <c r="D14" t="s">
        <v>438</v>
      </c>
      <c r="G14" t="s">
        <v>439</v>
      </c>
      <c r="J14" t="s">
        <v>440</v>
      </c>
    </row>
    <row r="15" spans="1:10" x14ac:dyDescent="0.35">
      <c r="A15" t="s">
        <v>441</v>
      </c>
      <c r="D15" t="s">
        <v>442</v>
      </c>
      <c r="G15" t="s">
        <v>443</v>
      </c>
    </row>
    <row r="16" spans="1:10" x14ac:dyDescent="0.35">
      <c r="A16" t="s">
        <v>444</v>
      </c>
      <c r="D16" t="s">
        <v>445</v>
      </c>
    </row>
    <row r="17" spans="1:4" x14ac:dyDescent="0.35">
      <c r="A17" t="s">
        <v>446</v>
      </c>
      <c r="D17" t="s">
        <v>447</v>
      </c>
    </row>
    <row r="18" spans="1:4" x14ac:dyDescent="0.35">
      <c r="A18" t="s">
        <v>448</v>
      </c>
      <c r="D18" t="s">
        <v>449</v>
      </c>
    </row>
    <row r="19" spans="1:4" x14ac:dyDescent="0.35">
      <c r="A19" t="s">
        <v>450</v>
      </c>
      <c r="D19" s="54" t="s">
        <v>451</v>
      </c>
    </row>
    <row r="20" spans="1:4" x14ac:dyDescent="0.35">
      <c r="A20" t="s">
        <v>452</v>
      </c>
    </row>
    <row r="21" spans="1:4" x14ac:dyDescent="0.35">
      <c r="A21" t="s">
        <v>453</v>
      </c>
    </row>
    <row r="22" spans="1:4" x14ac:dyDescent="0.35">
      <c r="A22" t="e" cm="1">
        <f t="array" ref="A22">-blue belt</f>
        <v>#NAME?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25DF-9DDB-45B1-A5D7-21F96E09716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50C9D0-D031-4ECC-AF6C-BD73B68D73F8}">
  <ds:schemaRefs>
    <ds:schemaRef ds:uri="http://schemas.microsoft.com/sharepoint/v3/contenttype/forms"/>
  </ds:schemaRefs>
</ds:datastoreItem>
</file>

<file path=customXml/itemProps2.xml><?xml version="1.0" encoding="utf-8"?>
<ds:datastoreItem xmlns:ds="http://schemas.openxmlformats.org/officeDocument/2006/customXml" ds:itemID="{4A179061-7592-4D50-AEAF-462B8C5F7F8A}">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FD4AB8BB-201E-46DD-AC2B-64D02072B5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RC-24- template</vt:lpstr>
      <vt:lpstr>by zone</vt:lpstr>
      <vt:lpstr>FCS Testing Log</vt:lpstr>
      <vt:lpstr>2026 line</vt:lpstr>
      <vt:lpstr>air results</vt:lpstr>
      <vt:lpstr>allergen</vt:lpstr>
      <vt:lpstr>drain</vt:lpstr>
      <vt:lpstr>water</vt:lpstr>
      <vt:lpstr>Ingredient</vt:lpstr>
      <vt:lpstr>Product Testing Log </vt:lpstr>
      <vt:lpstr>hands</vt:lpstr>
      <vt:lpstr>Sheet1</vt:lpstr>
      <vt:lpstr>Sheet2</vt:lpstr>
      <vt:lpstr>'RC-24- template'!Print_Area</vt:lpstr>
      <vt:lpstr>'RC-24- template'!Print_Titles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2022-06-27T19:01:16Z</dcterms:created>
  <dcterms:modified xsi:type="dcterms:W3CDTF">2026-08-29T22:11:38Z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