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4" documentId="8_{7C9FD81E-7E61-428F-A046-20F22641E2E3}" xr6:coauthVersionLast="47" xr6:coauthVersionMax="47" xr10:uidLastSave="{CA533AD0-89C7-48ED-9B6D-4A621D04B58C}"/>
  <bookViews>
    <workbookView xWindow="-110" yWindow="-110" windowWidth="19420" windowHeight="11500" xr2:uid="{00000000-000D-0000-FFFF-FFFF00000000}"/>
  </bookViews>
  <sheets>
    <sheet name="RC-28" sheetId="56" r:id="rId1"/>
    <sheet name="2025" sheetId="55" r:id="rId2"/>
    <sheet name="2024" sheetId="54" r:id="rId3"/>
    <sheet name="2023" sheetId="52" r:id="rId4"/>
  </sheets>
  <externalReferences>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prSun1">#N/A</definedName>
    <definedName name="AugSun1">#N/A</definedName>
    <definedName name="b">#REF!</definedName>
    <definedName name="bbb">#REF!</definedName>
    <definedName name="CalendarYear">'[1]RC-90'!$AD$1</definedName>
    <definedName name="ddd">#REF!</definedName>
    <definedName name="DecSun1">DATE(CalendarYear,12,1)-WEEKDAY(DATE(CalendarYear,12,1))</definedName>
    <definedName name="Desc">#REF!</definedName>
    <definedName name="Description">[2]Sheet1!$A$10:$A$18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#REF!</definedName>
    <definedName name="EmpListEland">#REF!</definedName>
    <definedName name="EmployeeList">'[3]RC-50'!$A$3:$Y$78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ello">#REF!</definedName>
    <definedName name="hfkdh">#REF!</definedName>
    <definedName name="hh">#REF!</definedName>
    <definedName name="hkhkj">#REF!</definedName>
    <definedName name="ImportantDates">'[1]RC-90'!#REF!</definedName>
    <definedName name="Jan">#REF!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_xlnm.Print_Area" localSheetId="3">'2023'!$A$1:$J$11</definedName>
    <definedName name="_xlnm.Print_Area" localSheetId="2">'2024'!$A$1:$J$24</definedName>
    <definedName name="_xlnm.Print_Area" localSheetId="1">'2025'!$A$1:$K$53</definedName>
    <definedName name="q">#REF!</definedName>
    <definedName name="Raw">#REF!</definedName>
    <definedName name="Raw_preparation_packaging_room">#REF!</definedName>
    <definedName name="Raws">#REF!</definedName>
    <definedName name="RCxxx">#REF!</definedName>
    <definedName name="Records">'[4]RC-56'!$A$26:$A$27</definedName>
    <definedName name="sdfsd">#REF!</definedName>
    <definedName name="sdk">#REF!</definedName>
    <definedName name="sds">#REF!</definedName>
    <definedName name="SepSun1">DATE(CalendarYear,9,1)-WEEKDAY(DATE(CalendarYear,9,1))</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ype">[2]Sheet1!$A$4:$A$6</definedName>
    <definedName name="TypeA">#REF!</definedName>
    <definedName name="u">#REF!</definedName>
    <definedName name="vesna">#REF!</definedName>
    <definedName name="w">#REF!</definedName>
    <definedName name="xxxx">#REF!</definedName>
    <definedName name="yy">#REF!</definedName>
    <definedName name="z">#REF!</definedName>
    <definedName name="ZXAXAXXAAAAAAAAAAAAAAAAAAAAAAAAAAAAAAAAAAAAA">#REF!</definedName>
    <definedName name="zzzccvcv">#REF!</definedName>
  </definedNames>
  <calcPr calcId="191028"/>
  <customWorkbookViews>
    <customWorkbookView name="Filter 1" guid="{4BF20491-7026-4471-B368-240266DAC8E9}"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33" i="56" l="1"/>
  <c r="Z132" i="56"/>
  <c r="I132" i="56"/>
  <c r="G132" i="56"/>
  <c r="Z131" i="56"/>
  <c r="I131" i="56"/>
  <c r="G131" i="56"/>
  <c r="Z130" i="56"/>
  <c r="G130" i="56"/>
  <c r="Z129" i="56"/>
  <c r="G129" i="56"/>
  <c r="Z128" i="56"/>
  <c r="G128" i="56"/>
  <c r="Z127" i="56"/>
  <c r="G127" i="56"/>
  <c r="Z126" i="56"/>
  <c r="G126" i="56"/>
  <c r="Z125" i="56"/>
  <c r="G125" i="56"/>
  <c r="Z124" i="56"/>
  <c r="G124" i="56"/>
  <c r="Z123" i="56"/>
  <c r="G123" i="56"/>
  <c r="Z122" i="56"/>
  <c r="G122" i="56"/>
  <c r="Z121" i="56"/>
  <c r="G121" i="56"/>
  <c r="Z120" i="56"/>
  <c r="G120" i="56"/>
  <c r="Z119" i="56"/>
  <c r="G119" i="56"/>
  <c r="Z118" i="56"/>
  <c r="G118" i="56"/>
  <c r="Z117" i="56"/>
  <c r="G117" i="56"/>
  <c r="Z116" i="56"/>
  <c r="G116" i="56"/>
  <c r="Z115" i="56"/>
  <c r="G115" i="56"/>
  <c r="Z114" i="56"/>
  <c r="G114" i="56"/>
  <c r="Z113" i="56"/>
  <c r="G113" i="56"/>
  <c r="Z112" i="56"/>
  <c r="G112" i="56"/>
  <c r="Z111" i="56"/>
  <c r="G111" i="56"/>
  <c r="Z110" i="56"/>
  <c r="G110" i="56"/>
  <c r="Z109" i="56"/>
  <c r="G109" i="56"/>
  <c r="Z108" i="56"/>
  <c r="G108" i="56"/>
  <c r="Z107" i="56"/>
  <c r="Z106" i="56"/>
  <c r="Z105" i="56"/>
  <c r="Z104" i="56"/>
  <c r="Z103" i="56"/>
  <c r="Z102" i="56"/>
  <c r="Z101" i="56"/>
  <c r="Z100" i="56"/>
  <c r="Z99" i="56"/>
  <c r="Z98" i="56"/>
  <c r="Z97" i="56"/>
  <c r="Z96" i="56"/>
  <c r="Z95" i="56"/>
  <c r="Z94" i="56"/>
  <c r="Z93" i="56"/>
  <c r="Z92" i="56"/>
  <c r="Z91" i="56"/>
  <c r="Z90" i="56"/>
  <c r="Z89" i="56"/>
  <c r="Z88" i="56"/>
  <c r="Z87" i="56"/>
  <c r="Z86" i="56"/>
  <c r="Z85" i="56"/>
  <c r="Z84" i="56"/>
  <c r="Z83" i="56"/>
  <c r="Z82" i="56"/>
  <c r="Z81" i="56"/>
  <c r="Z80" i="56"/>
  <c r="Z79" i="56"/>
  <c r="Z78" i="56"/>
  <c r="Z77" i="56"/>
  <c r="Z76" i="56"/>
  <c r="Z75" i="56"/>
  <c r="Z74" i="56"/>
  <c r="Z70" i="56"/>
  <c r="I70" i="56"/>
  <c r="I69" i="56"/>
  <c r="Z68" i="56"/>
  <c r="Z66" i="56"/>
  <c r="Z65" i="56"/>
  <c r="Z64" i="56"/>
  <c r="I64" i="56"/>
  <c r="Z63" i="56"/>
  <c r="I63" i="56"/>
  <c r="Z62" i="56"/>
  <c r="I62" i="56"/>
  <c r="Z61" i="56"/>
  <c r="I61" i="56"/>
  <c r="Z60" i="56"/>
  <c r="I60" i="56"/>
  <c r="Z59" i="56"/>
  <c r="I59" i="56"/>
  <c r="Z58" i="56"/>
  <c r="Z57" i="56"/>
  <c r="I57" i="56"/>
  <c r="Z56" i="56"/>
  <c r="Z55" i="56"/>
  <c r="I55" i="56"/>
  <c r="Z54" i="56"/>
  <c r="Z53" i="56"/>
  <c r="Z52" i="56"/>
  <c r="Z51" i="56"/>
  <c r="Z50" i="56"/>
  <c r="Z49" i="56"/>
  <c r="I49" i="56"/>
  <c r="Z48" i="56"/>
  <c r="Z47" i="56"/>
  <c r="Z46" i="56"/>
  <c r="Z45" i="56"/>
  <c r="G45" i="56"/>
  <c r="Z44" i="56"/>
  <c r="G44" i="56"/>
  <c r="Z43" i="56"/>
  <c r="G43" i="56"/>
  <c r="Z42" i="56"/>
  <c r="G42" i="56"/>
  <c r="Z41" i="56"/>
  <c r="G41" i="56"/>
  <c r="Z40" i="56"/>
  <c r="G40" i="56"/>
  <c r="Z39" i="56"/>
  <c r="G39" i="56"/>
  <c r="Z38" i="56"/>
  <c r="G38" i="56"/>
  <c r="Z37" i="56"/>
  <c r="G37" i="56"/>
  <c r="Z36" i="56"/>
  <c r="G36" i="56"/>
  <c r="Z35" i="56"/>
  <c r="G35" i="56"/>
  <c r="Z34" i="56"/>
  <c r="G34" i="56"/>
  <c r="Z33" i="56"/>
  <c r="I33" i="56"/>
  <c r="Z32" i="56"/>
  <c r="I32" i="56"/>
  <c r="G32" i="56"/>
  <c r="Z31" i="56"/>
  <c r="I31" i="56"/>
  <c r="G31" i="56"/>
  <c r="Z30" i="56"/>
  <c r="G30" i="56"/>
  <c r="Z29" i="56"/>
  <c r="G29" i="56"/>
  <c r="Z28" i="56"/>
  <c r="G28" i="56"/>
  <c r="Z27" i="56"/>
  <c r="G27" i="56"/>
  <c r="Z26" i="56"/>
  <c r="G26" i="56"/>
  <c r="Z25" i="56"/>
  <c r="I25" i="56"/>
  <c r="G25" i="56"/>
  <c r="Z24" i="56"/>
  <c r="I24" i="56"/>
  <c r="G24" i="56"/>
  <c r="Z23" i="56"/>
  <c r="G23" i="56"/>
  <c r="Z22" i="56"/>
  <c r="G22" i="56"/>
  <c r="Z21" i="56"/>
  <c r="G21" i="56"/>
  <c r="Z20" i="56"/>
  <c r="G20" i="56"/>
  <c r="Z19" i="56"/>
  <c r="G19" i="56"/>
  <c r="Z18" i="56"/>
  <c r="G18" i="56"/>
  <c r="Z17" i="56"/>
  <c r="G17" i="56"/>
  <c r="Z16" i="56"/>
  <c r="G16" i="56"/>
  <c r="Z15" i="56"/>
  <c r="G15" i="56"/>
  <c r="Z14" i="56"/>
  <c r="G14" i="56"/>
  <c r="Z13" i="56"/>
  <c r="G13" i="56"/>
  <c r="G12" i="56"/>
  <c r="Z11" i="56"/>
  <c r="G11" i="56"/>
  <c r="Z10" i="56"/>
  <c r="G10" i="56"/>
  <c r="Z9" i="56"/>
  <c r="G9" i="56"/>
  <c r="Z8" i="56"/>
  <c r="Z7" i="56"/>
  <c r="Z6" i="56"/>
  <c r="M139" i="56" l="1"/>
</calcChain>
</file>

<file path=xl/sharedStrings.xml><?xml version="1.0" encoding="utf-8"?>
<sst xmlns="http://schemas.openxmlformats.org/spreadsheetml/2006/main" count="893" uniqueCount="553">
  <si>
    <t>HOLD LOG BOOK</t>
  </si>
  <si>
    <t xml:space="preserve">Packaging Supervisor / HACCP Coordinator / SQFP or Food Safety Specialist completes each time product is placed on hold. </t>
  </si>
  <si>
    <t>Corrective Action to Prevent Re-Occurance
(if applicable)</t>
  </si>
  <si>
    <t>Disposition</t>
  </si>
  <si>
    <t>cost</t>
  </si>
  <si>
    <t>food waste y/n</t>
  </si>
  <si>
    <t>Hold Number</t>
  </si>
  <si>
    <t>Date Opened</t>
  </si>
  <si>
    <t>Hold Category</t>
  </si>
  <si>
    <t>Period</t>
  </si>
  <si>
    <t>Shift</t>
  </si>
  <si>
    <t>Type (Line)</t>
  </si>
  <si>
    <t>Graph</t>
  </si>
  <si>
    <t>Product Code</t>
  </si>
  <si>
    <t>Product Description</t>
  </si>
  <si>
    <t>Batch Number (lot)</t>
  </si>
  <si>
    <t>Expiry Date</t>
  </si>
  <si>
    <t>Quantity on Hold
(FG=CS, ING= KG)</t>
  </si>
  <si>
    <t>Reason of Hold</t>
  </si>
  <si>
    <t>Hold Reason Code</t>
  </si>
  <si>
    <t>Initials of Person Creating Hold</t>
  </si>
  <si>
    <t>Results of Inspection
(within 48 hours/ if applicable)</t>
  </si>
  <si>
    <t>Actions to be Taken for Release
(Production Decision
within 14 business days)</t>
  </si>
  <si>
    <t>Corrective Action</t>
  </si>
  <si>
    <t>Initials of Person Authorizing Actions</t>
  </si>
  <si>
    <t>Date of Decision</t>
  </si>
  <si>
    <t>Released for sale</t>
  </si>
  <si>
    <t>Cases disposed</t>
  </si>
  <si>
    <t>Second Sale</t>
  </si>
  <si>
    <t>Initials of Person Closing Hold</t>
  </si>
  <si>
    <t>Date closed</t>
  </si>
  <si>
    <t># of Days Open</t>
  </si>
  <si>
    <t>Hold Status</t>
  </si>
  <si>
    <t>Column1</t>
  </si>
  <si>
    <t>Column2</t>
  </si>
  <si>
    <t>Closed</t>
  </si>
  <si>
    <t>Open</t>
  </si>
  <si>
    <t xml:space="preserve"> </t>
  </si>
  <si>
    <t>Hold  #</t>
  </si>
  <si>
    <t>Date</t>
  </si>
  <si>
    <t>Product On Hold</t>
  </si>
  <si>
    <t>Lot#</t>
  </si>
  <si>
    <t xml:space="preserve">Quantity </t>
  </si>
  <si>
    <t>Reason for Hold</t>
  </si>
  <si>
    <t>Recommended Time Frame</t>
  </si>
  <si>
    <t>RC/CAPA/ Action plan</t>
  </si>
  <si>
    <t xml:space="preserve">Release Date </t>
  </si>
  <si>
    <t>Initials</t>
  </si>
  <si>
    <t>QA USE (DEVAITION NUMBER)</t>
  </si>
  <si>
    <t>01-2025</t>
  </si>
  <si>
    <t>Dextrose Monohydrate</t>
  </si>
  <si>
    <t>25kg X 4</t>
  </si>
  <si>
    <t>Expired spices</t>
  </si>
  <si>
    <t>Communicated with supplier</t>
  </si>
  <si>
    <t>Supplier provide extension letter but the bags were returned back to Malabar</t>
  </si>
  <si>
    <t>KD</t>
  </si>
  <si>
    <t>NA</t>
  </si>
  <si>
    <t>02-2025</t>
  </si>
  <si>
    <t>03-2025</t>
  </si>
  <si>
    <t>GCM Teri 68g</t>
  </si>
  <si>
    <t>26FE03</t>
  </si>
  <si>
    <t>22 cases</t>
  </si>
  <si>
    <t>metal contamination</t>
  </si>
  <si>
    <t>Bags were opened + passed thorugh metal detector and repacked. 14 cases were packed after repacking</t>
  </si>
  <si>
    <t>Teri jerky (Clipped) in S.S bin</t>
  </si>
  <si>
    <t>030-2J</t>
  </si>
  <si>
    <t>6 trucks</t>
  </si>
  <si>
    <t>Products were passed through metal detector prior packing them.</t>
  </si>
  <si>
    <t>Teri jerky (Unclipped) in S.S bin</t>
  </si>
  <si>
    <t>2 trucks</t>
  </si>
  <si>
    <t>04-2025</t>
  </si>
  <si>
    <t>DND BBQ Jerky 50g</t>
  </si>
  <si>
    <t>25-021-1</t>
  </si>
  <si>
    <t>81 cases</t>
  </si>
  <si>
    <t>Listeria speices found on weigh filler</t>
  </si>
  <si>
    <t>Lab result is good and product is released.</t>
  </si>
  <si>
    <t>05-2025</t>
  </si>
  <si>
    <t>GCM Hot mega mini and GCM Mild mega mini</t>
  </si>
  <si>
    <t>26JA30</t>
  </si>
  <si>
    <t>175 CS and 84 CS</t>
  </si>
  <si>
    <t>Oxygen % higher than 2%</t>
  </si>
  <si>
    <t>Product were put on hold until the O2 was reduced below 2%</t>
  </si>
  <si>
    <t>06-2025</t>
  </si>
  <si>
    <t>Fire 45g</t>
  </si>
  <si>
    <t>030-37,39,40              031-7,8,8A</t>
  </si>
  <si>
    <t>Pepperoni were brown in color instead of pink</t>
  </si>
  <si>
    <t>Product was discarded and batching employees performing mixing process have been trained.</t>
  </si>
  <si>
    <t>07-2025</t>
  </si>
  <si>
    <t xml:space="preserve">Hot bulk </t>
  </si>
  <si>
    <t>036-21,22</t>
  </si>
  <si>
    <t>1 trucks</t>
  </si>
  <si>
    <t>08-2025</t>
  </si>
  <si>
    <t>GCMC mild 15" 45g</t>
  </si>
  <si>
    <t>25FE20</t>
  </si>
  <si>
    <t>16 CS + 14 Cs + 7 caddies</t>
  </si>
  <si>
    <t>Wrong best before used on product and cases</t>
  </si>
  <si>
    <t>product was conditioanlly passed based on management's decision</t>
  </si>
  <si>
    <t>09-2025</t>
  </si>
  <si>
    <t>Mild jumbo</t>
  </si>
  <si>
    <t>062-1,2,3,4,5,6</t>
  </si>
  <si>
    <t>Meat from stolen truck</t>
  </si>
  <si>
    <t>Refer Deviation# 11-2025</t>
  </si>
  <si>
    <t>11-2025</t>
  </si>
  <si>
    <t>Hoy jumbo</t>
  </si>
  <si>
    <t>062-7,8,9,10</t>
  </si>
  <si>
    <t>4 trucks</t>
  </si>
  <si>
    <t>Mild chubber</t>
  </si>
  <si>
    <t>062-11,12</t>
  </si>
  <si>
    <t>Jowett pork trim</t>
  </si>
  <si>
    <t>PD: 25FE27</t>
  </si>
  <si>
    <t>7 combo</t>
  </si>
  <si>
    <t>10-2025</t>
  </si>
  <si>
    <t>All beef 15" 069-4</t>
  </si>
  <si>
    <t>26MR10</t>
  </si>
  <si>
    <t>15 CS + 5 PC</t>
  </si>
  <si>
    <t>CFIA swabbed + missing tags and packaging verification</t>
  </si>
  <si>
    <t>Refer Deviation# 12-2025</t>
  </si>
  <si>
    <t>12-2025</t>
  </si>
  <si>
    <t>GCM Hot mini 225g</t>
  </si>
  <si>
    <t>26MR17</t>
  </si>
  <si>
    <t>42+49+49 (3 pallet)</t>
  </si>
  <si>
    <t>CFIA swabbed</t>
  </si>
  <si>
    <t xml:space="preserve">Satisfactory result received by CFIA </t>
  </si>
  <si>
    <t>GCM Beef salami slices 50g</t>
  </si>
  <si>
    <t>26MR11</t>
  </si>
  <si>
    <t>82 cases</t>
  </si>
  <si>
    <t>Old meat found under the slicer blade chamber</t>
  </si>
  <si>
    <t>Result satisfactory</t>
  </si>
  <si>
    <t>13-2025</t>
  </si>
  <si>
    <t>13-2024</t>
  </si>
  <si>
    <t>GCM Mild buffalo wings</t>
  </si>
  <si>
    <t>12 cases + 4 cads</t>
  </si>
  <si>
    <t>Some sticks are soggy and soft</t>
  </si>
  <si>
    <t>Stefan to decide</t>
  </si>
  <si>
    <t>All jerky products due to jerky cutter L.swab</t>
  </si>
  <si>
    <t>Listeria swabbing internal check</t>
  </si>
  <si>
    <t>Results satisafactory</t>
  </si>
  <si>
    <t>14-2025</t>
  </si>
  <si>
    <t>Merlot Salami</t>
  </si>
  <si>
    <t>26MR12</t>
  </si>
  <si>
    <t>78CS</t>
  </si>
  <si>
    <t>Aw deviation</t>
  </si>
  <si>
    <t>Sort and isolate soft salami</t>
  </si>
  <si>
    <t>15-2025</t>
  </si>
  <si>
    <t>Pep and Chaddar cheese</t>
  </si>
  <si>
    <t>26AU01</t>
  </si>
  <si>
    <t>25 CS</t>
  </si>
  <si>
    <t>Part of monthly listeria swab</t>
  </si>
  <si>
    <t>Pep and Monterey jack cheese</t>
  </si>
  <si>
    <t>26JL05</t>
  </si>
  <si>
    <t>21 CS</t>
  </si>
  <si>
    <t>Hot individual</t>
  </si>
  <si>
    <t>26MR26</t>
  </si>
  <si>
    <t>38 CS</t>
  </si>
  <si>
    <t>26MR24</t>
  </si>
  <si>
    <t>59 CS</t>
  </si>
  <si>
    <t>Mild bulk</t>
  </si>
  <si>
    <t>56 CS</t>
  </si>
  <si>
    <t>Halal Beef</t>
  </si>
  <si>
    <t>16-2025</t>
  </si>
  <si>
    <t>TJ Meat 5.5</t>
  </si>
  <si>
    <t>26AL16</t>
  </si>
  <si>
    <t>19 CS + 5 PCS</t>
  </si>
  <si>
    <t>Missing tags</t>
  </si>
  <si>
    <t>Sample sent out for pH check</t>
  </si>
  <si>
    <t>17-2025</t>
  </si>
  <si>
    <t>GCM hot super stick 70g</t>
  </si>
  <si>
    <t>26MA01</t>
  </si>
  <si>
    <t>73 Cases</t>
  </si>
  <si>
    <t>Few sticks found soft and with higher water activity</t>
  </si>
  <si>
    <t>30 pieces were found soft and discarded</t>
  </si>
  <si>
    <t>Teriyaki 50X68g</t>
  </si>
  <si>
    <t>26MA09</t>
  </si>
  <si>
    <t>23 cs</t>
  </si>
  <si>
    <t>Missing nut (Metal contamination)</t>
  </si>
  <si>
    <t>all the product were passed through metal detector and the missing metal was not found</t>
  </si>
  <si>
    <t>BBQ jerky 68g</t>
  </si>
  <si>
    <t>129-3J</t>
  </si>
  <si>
    <t>1/2 bin</t>
  </si>
  <si>
    <t>hot meat and cheese</t>
  </si>
  <si>
    <t>25SE12</t>
  </si>
  <si>
    <t>5 CS</t>
  </si>
  <si>
    <t>Sold in Deli as GCM product</t>
  </si>
  <si>
    <t>18-2025</t>
  </si>
  <si>
    <t>Hungarian salami</t>
  </si>
  <si>
    <t>26AL17</t>
  </si>
  <si>
    <t>11 CS OF LOOSE PACKED PRODUCT</t>
  </si>
  <si>
    <t>Products are underweight</t>
  </si>
  <si>
    <t>To be packed as 250g salami</t>
  </si>
  <si>
    <t>26AL30</t>
  </si>
  <si>
    <t>4 CS OF LOOSE PACKED PRODUCT</t>
  </si>
  <si>
    <t>Milano salami</t>
  </si>
  <si>
    <t>26AL23</t>
  </si>
  <si>
    <t>3 CS OF LOOSE PACKED PRODUCT</t>
  </si>
  <si>
    <t>19-2025</t>
  </si>
  <si>
    <t>Peppercorn Salami</t>
  </si>
  <si>
    <t>121-23, 21, 22, 20</t>
  </si>
  <si>
    <t>34 cs + 115 cs + 5 pcs</t>
  </si>
  <si>
    <t>Potential leaker (small hole on packaging material)</t>
  </si>
  <si>
    <t>Employee to go through boxes</t>
  </si>
  <si>
    <t>120-34,32</t>
  </si>
  <si>
    <t>95 cs</t>
  </si>
  <si>
    <t>Summer Salami</t>
  </si>
  <si>
    <t>121-24,26, 25</t>
  </si>
  <si>
    <t>98 cs</t>
  </si>
  <si>
    <t>20-2025</t>
  </si>
  <si>
    <t>Hot 6 pack</t>
  </si>
  <si>
    <t>136-10, 9</t>
  </si>
  <si>
    <t>Soapy floor contamination</t>
  </si>
  <si>
    <t>1. lab testing, 2. food safety risk accessment 3. get training record for Leo</t>
  </si>
  <si>
    <t>Summer 6 pack</t>
  </si>
  <si>
    <t>133-16, 13, 15, 14</t>
  </si>
  <si>
    <t xml:space="preserve">Mild 6 Pack </t>
  </si>
  <si>
    <t>135-11, 10, 12, 9</t>
  </si>
  <si>
    <t>honey garlic 6 pack</t>
  </si>
  <si>
    <t>133-18, 19, 17, 20</t>
  </si>
  <si>
    <t>summer bulk</t>
  </si>
  <si>
    <t>134-18, 19, 17, 24</t>
  </si>
  <si>
    <t>hot bulk</t>
  </si>
  <si>
    <t>133-9</t>
  </si>
  <si>
    <t>mild bulk</t>
  </si>
  <si>
    <t>135-7, 1</t>
  </si>
  <si>
    <t>mild jumbo</t>
  </si>
  <si>
    <t>132-4, 1, 9, 10, 6</t>
  </si>
  <si>
    <t>hot jumbo</t>
  </si>
  <si>
    <t>132-11</t>
  </si>
  <si>
    <t>mild 15"</t>
  </si>
  <si>
    <t>135-16</t>
  </si>
  <si>
    <t>hot twin</t>
  </si>
  <si>
    <t>136-4</t>
  </si>
  <si>
    <t>hot individual</t>
  </si>
  <si>
    <t>134-13</t>
  </si>
  <si>
    <t>hot mini</t>
  </si>
  <si>
    <t>135-35</t>
  </si>
  <si>
    <t>21-2025</t>
  </si>
  <si>
    <t xml:space="preserve">mild meat and cheese </t>
  </si>
  <si>
    <t>167-24</t>
  </si>
  <si>
    <t>33 cases</t>
  </si>
  <si>
    <t>Cooling CCP missing</t>
  </si>
  <si>
    <t>1. sent sample for testing, 2. did risk analysis taking another batch cooking and handelled along with the affected batch. based on the  lab result and risk analysis the product can be released under conditonal terms of constantly monitoring the batch number for complaint.</t>
  </si>
  <si>
    <t>22-2025</t>
  </si>
  <si>
    <t>Mild sausage</t>
  </si>
  <si>
    <t>168-24,25</t>
  </si>
  <si>
    <t>Cooling CCP did not reach 4C and took longer time to meet CCP</t>
  </si>
  <si>
    <r>
      <rPr>
        <sz val="11"/>
        <color rgb="FF000000"/>
        <rFont val="Calibri"/>
        <family val="2"/>
        <scheme val="minor"/>
      </rPr>
      <t xml:space="preserve">1. Conducted predictive modelling to access </t>
    </r>
    <r>
      <rPr>
        <i/>
        <sz val="11"/>
        <color rgb="FF000000"/>
        <rFont val="Calibri"/>
        <family val="2"/>
        <scheme val="minor"/>
      </rPr>
      <t xml:space="preserve">Clostridium perfringens </t>
    </r>
    <r>
      <rPr>
        <sz val="11"/>
        <color rgb="FF000000"/>
        <rFont val="Calibri"/>
        <family val="2"/>
        <scheme val="minor"/>
      </rPr>
      <t>growth and found it less than 1 log10 cfu and hence product was released.</t>
    </r>
  </si>
  <si>
    <t>Hot sausage</t>
  </si>
  <si>
    <t>168-26</t>
  </si>
  <si>
    <t>1 truck</t>
  </si>
  <si>
    <t xml:space="preserve">Mild meat and cheese </t>
  </si>
  <si>
    <t>168-37</t>
  </si>
  <si>
    <t>23-2025</t>
  </si>
  <si>
    <t>Hungarian bulk</t>
  </si>
  <si>
    <t>191-13,14,15</t>
  </si>
  <si>
    <t>3 trucks</t>
  </si>
  <si>
    <t>3 new flavors of bulk</t>
  </si>
  <si>
    <t>1. Batch record created and production employee trained on it, 2. NOC created, 3. Finished product testing came satisfactory, 4. Partial nutritional testing was acceptable, 5. Product spec sheet finalized, 6. Labels finalized</t>
  </si>
  <si>
    <t>NOC#2025-03</t>
  </si>
  <si>
    <t>German bulk</t>
  </si>
  <si>
    <t>191-10,11,12</t>
  </si>
  <si>
    <t>Black pepper bulk</t>
  </si>
  <si>
    <t>191-16,17,18</t>
  </si>
  <si>
    <t>Mild bulk from Pillers</t>
  </si>
  <si>
    <t>24-2025</t>
  </si>
  <si>
    <t>GCM Hot jumbo 72g</t>
  </si>
  <si>
    <t>26AU13</t>
  </si>
  <si>
    <t>42 cs</t>
  </si>
  <si>
    <t>"BB/MA" word missing on packaging material</t>
  </si>
  <si>
    <t>1. Product put on HOLD. 2. All the products were relabelled with date gun and released from HOLD.</t>
  </si>
  <si>
    <t>GCM Mild 9" strip</t>
  </si>
  <si>
    <t>26AU19</t>
  </si>
  <si>
    <t>33 cs</t>
  </si>
  <si>
    <t>26AU11</t>
  </si>
  <si>
    <t>47 cs</t>
  </si>
  <si>
    <t>GCM Teriyaki 9" strip</t>
  </si>
  <si>
    <t>26AU17</t>
  </si>
  <si>
    <t>41 cs</t>
  </si>
  <si>
    <t>Nat and Chris Bacon bulk</t>
  </si>
  <si>
    <t>26AU12</t>
  </si>
  <si>
    <t>30 cs</t>
  </si>
  <si>
    <t>Nat and Chris Mild bulk</t>
  </si>
  <si>
    <t>26AU15</t>
  </si>
  <si>
    <t>14 cs</t>
  </si>
  <si>
    <t>Monterey Meat and cheese</t>
  </si>
  <si>
    <t>12 cases</t>
  </si>
  <si>
    <t>Andrew/ Jen</t>
  </si>
  <si>
    <t>25-2025</t>
  </si>
  <si>
    <t>IPC/Ishida</t>
  </si>
  <si>
    <t>Not functioning well</t>
  </si>
  <si>
    <t>26-2025</t>
  </si>
  <si>
    <t>8/27/2025 - 7/10/2025</t>
  </si>
  <si>
    <t>50033A GCM Honey garlic mini 225g; 26AU19</t>
  </si>
  <si>
    <t>Refer to deviation#20-2025</t>
  </si>
  <si>
    <t>2020020 GCM Original jerky 16X68g; 26AU21</t>
  </si>
  <si>
    <t>26AU21</t>
  </si>
  <si>
    <t>2020020 GCM Original jerky 16X68g; 26AU25</t>
  </si>
  <si>
    <t>26AU25</t>
  </si>
  <si>
    <t>20020 GCM Original jerky 50X68g; 26AU25</t>
  </si>
  <si>
    <t>2020030GCM Teriyaki jerky 16X68g; 26AU22</t>
  </si>
  <si>
    <t>26AU22</t>
  </si>
  <si>
    <t>2020060 GCM BBQ jerky 16X68g; 25AU25</t>
  </si>
  <si>
    <t>9/2/2025 to 10/7/2025</t>
  </si>
  <si>
    <t>All product packed on Auto bagger</t>
  </si>
  <si>
    <t>N/A</t>
  </si>
  <si>
    <t>GCM Mild mini</t>
  </si>
  <si>
    <t>26OC10</t>
  </si>
  <si>
    <t>27 CS</t>
  </si>
  <si>
    <t>Rust contamination</t>
  </si>
  <si>
    <t xml:space="preserve">Rust removed from the base and O ring added to avoid </t>
  </si>
  <si>
    <t>27-2025</t>
  </si>
  <si>
    <t>Jason lytle Teriyaki strip 225g</t>
  </si>
  <si>
    <t>19 Cs +11 BAGS</t>
  </si>
  <si>
    <t>GC case label alignment issue</t>
  </si>
  <si>
    <t>Jason lytle Mild strip 225g</t>
  </si>
  <si>
    <t>17 cs</t>
  </si>
  <si>
    <t>Jason lytle Hot strip 225g</t>
  </si>
  <si>
    <t>11 cs</t>
  </si>
  <si>
    <t>GCM Hot strip 225g</t>
  </si>
  <si>
    <t>10 cs + 13 pc</t>
  </si>
  <si>
    <t>28-2025</t>
  </si>
  <si>
    <t>GCM Beef Salami slices</t>
  </si>
  <si>
    <t>26OC02</t>
  </si>
  <si>
    <t>176 CS</t>
  </si>
  <si>
    <t>Production tag missing</t>
  </si>
  <si>
    <t>QA USE (FOOD SAFETY DEVAITION NUMBER)</t>
  </si>
  <si>
    <t>01-2023</t>
  </si>
  <si>
    <t>MadgeTech HiTemp140 data logger</t>
  </si>
  <si>
    <t>R01890</t>
  </si>
  <si>
    <t>Not functioning properly</t>
  </si>
  <si>
    <t>3 weeks as lead time for new data logger is 2 weeks</t>
  </si>
  <si>
    <t xml:space="preserve">2 New data loggers were received on Jan 29, 2024 and the old one was discarded by Scigiene. </t>
  </si>
  <si>
    <t>Jan 29 2024</t>
  </si>
  <si>
    <t>02-2024</t>
  </si>
  <si>
    <t>Salami</t>
  </si>
  <si>
    <t>German 008-22, Pizza 008-29, Hungarian 008-27 and 008-26, Summer 008-24, Chorizo 008-30, German 008-21, Summer 008-23, Mild Venison 009-21, Artisanal 009-20 and 009-19</t>
  </si>
  <si>
    <t>11 trucks</t>
  </si>
  <si>
    <t>Cooling CCP not met</t>
  </si>
  <si>
    <t>1 week</t>
  </si>
  <si>
    <t>Predictive modeling was carried out and the results of predicted growth are under 1 log10 CFU which fits for human consumption and can be packed after the drying stage. CFIA was informed and the deviation record was completed and submitted to CFIA.</t>
  </si>
  <si>
    <t>Jan 12 2024</t>
  </si>
  <si>
    <t>01-2024</t>
  </si>
  <si>
    <t>03-2024</t>
  </si>
  <si>
    <t>S.S mobile bin</t>
  </si>
  <si>
    <t>2 bins</t>
  </si>
  <si>
    <t>Cracked or wheel missing</t>
  </si>
  <si>
    <t>Until the welding is done.</t>
  </si>
  <si>
    <t>Discarded</t>
  </si>
  <si>
    <t>04-2024</t>
  </si>
  <si>
    <t>Summer 016-17, Hungarian 016-19, 016-20 and 016-18, Artisanal 016-22 and German 016-12</t>
  </si>
  <si>
    <t>Predictive modeling was carried out and the results of predicted growth are under 1 log10 CFU which fits for human consumption and can be packed after the drying stage. CFIA was informed and the deviation record was completed and submitted to CFIA. As PA, 1 big fan is installed to assist in bringing the temperature down for fast cooling.</t>
  </si>
  <si>
    <t>Jan 19 2024</t>
  </si>
  <si>
    <t>05-2024</t>
  </si>
  <si>
    <t>German 032-20, Summer 032-23, mild venison &amp; pork 032-25</t>
  </si>
  <si>
    <r>
      <rPr>
        <b/>
        <sz val="8"/>
        <color rgb="FF000000"/>
        <rFont val="Calibri"/>
        <family val="2"/>
        <scheme val="minor"/>
      </rPr>
      <t>RC:</t>
    </r>
    <r>
      <rPr>
        <sz val="8"/>
        <color rgb="FF000000"/>
        <rFont val="Calibri"/>
        <family val="2"/>
        <scheme val="minor"/>
      </rPr>
      <t xml:space="preserve"> All 3 salami trucks were placed together in the jerky hallway by some plant employee. The CCP employee saw the trucks and kept them in a distance to allow cooling. But, the product took longer time to cool. </t>
    </r>
    <r>
      <rPr>
        <b/>
        <sz val="8"/>
        <color rgb="FF000000"/>
        <rFont val="Calibri"/>
        <family val="2"/>
        <scheme val="minor"/>
      </rPr>
      <t xml:space="preserve">CA: </t>
    </r>
    <r>
      <rPr>
        <sz val="8"/>
        <color rgb="FF000000"/>
        <rFont val="Calibri"/>
        <family val="2"/>
        <scheme val="minor"/>
      </rPr>
      <t>some products will be placed in the packaging room#8 allowing enough space for cooling. Predictive modeling was carried out and the results of predicted growth are under 1 log10 CFU which fits for human consumption and can be packed after the drying stage</t>
    </r>
  </si>
  <si>
    <t>06-2024</t>
  </si>
  <si>
    <t>cooked product</t>
  </si>
  <si>
    <t>mild sausage 038-25,26, hot sausage 038-27, mild m+c 038-20</t>
  </si>
  <si>
    <t>Same day</t>
  </si>
  <si>
    <r>
      <rPr>
        <b/>
        <sz val="8"/>
        <color rgb="FF000000"/>
        <rFont val="Calibri"/>
        <family val="2"/>
        <scheme val="minor"/>
      </rPr>
      <t xml:space="preserve">RC: </t>
    </r>
    <r>
      <rPr>
        <sz val="8"/>
        <color rgb="FF000000"/>
        <rFont val="Calibri"/>
        <family val="2"/>
        <scheme val="minor"/>
      </rPr>
      <t xml:space="preserve">All 4 trucks were cooked together and put together in the cooler before 1hr on cooling in the hallway, as the product temperature was high and put together in the cooler, it increased the cooler temperature and products took a longer time to cool down. </t>
    </r>
    <r>
      <rPr>
        <b/>
        <sz val="8"/>
        <color rgb="FF000000"/>
        <rFont val="Calibri"/>
        <family val="2"/>
        <scheme val="minor"/>
      </rPr>
      <t xml:space="preserve">CA: </t>
    </r>
    <r>
      <rPr>
        <sz val="8"/>
        <color rgb="FF000000"/>
        <rFont val="Calibri"/>
        <family val="2"/>
        <scheme val="minor"/>
      </rPr>
      <t>Employee has been trained to put only 2 trucks at a time providing enough time for the product to cool and for the cooler to be at 4C or below. Predictive modeling was carried out and the results of predicted growth are under 1 log10 CFU which fits for human consumption and can be packed.</t>
    </r>
  </si>
  <si>
    <t>07-2024</t>
  </si>
  <si>
    <t>Mild M+C 044-18</t>
  </si>
  <si>
    <r>
      <rPr>
        <b/>
        <sz val="8"/>
        <color rgb="FF000000"/>
        <rFont val="Calibri"/>
        <family val="2"/>
        <scheme val="minor"/>
      </rPr>
      <t>RC:</t>
    </r>
    <r>
      <rPr>
        <sz val="8"/>
        <color rgb="FF000000"/>
        <rFont val="Calibri"/>
        <family val="2"/>
        <scheme val="minor"/>
      </rPr>
      <t xml:space="preserve"> 5 cooked trucks were made on the same day and 1 truck was left out in the cooler hallway due to which the product stayed at 4.51C as the hallway temperature does not go below that. </t>
    </r>
    <r>
      <rPr>
        <b/>
        <sz val="8"/>
        <color rgb="FF000000"/>
        <rFont val="Calibri"/>
        <family val="2"/>
        <scheme val="minor"/>
      </rPr>
      <t>CA:</t>
    </r>
    <r>
      <rPr>
        <sz val="8"/>
        <color rgb="FF000000"/>
        <rFont val="Calibri"/>
        <family val="2"/>
        <scheme val="minor"/>
      </rPr>
      <t xml:space="preserve"> Employee has been trained to rotate the product in the hallway and cooler so the product gets enough time in the colder environment to assist with fast cooling. Predictive modeling was carried out and the results of predicted growth are under 1 log10 CFU which fits for human consumption and can be packed.</t>
    </r>
  </si>
  <si>
    <t>08-2024</t>
  </si>
  <si>
    <t>Mild sausage 053-1</t>
  </si>
  <si>
    <r>
      <rPr>
        <b/>
        <sz val="8"/>
        <color rgb="FF000000"/>
        <rFont val="Calibri"/>
        <family val="2"/>
        <scheme val="minor"/>
      </rPr>
      <t xml:space="preserve">RC: </t>
    </r>
    <r>
      <rPr>
        <sz val="8"/>
        <color rgb="FF000000"/>
        <rFont val="Calibri"/>
        <family val="2"/>
        <scheme val="minor"/>
      </rPr>
      <t xml:space="preserve">The product was not placed in the cooler as the cooler was packed with 3 packaged meat and cheese product skids. </t>
    </r>
    <r>
      <rPr>
        <b/>
        <sz val="8"/>
        <color rgb="FF000000"/>
        <rFont val="Calibri"/>
        <family val="2"/>
        <scheme val="minor"/>
      </rPr>
      <t xml:space="preserve">CA: </t>
    </r>
    <r>
      <rPr>
        <sz val="8"/>
        <color rgb="FF000000"/>
        <rFont val="Calibri"/>
        <family val="2"/>
        <scheme val="minor"/>
      </rPr>
      <t>The employee has been trained to remove the packaged finished product skid from the cooler and place it in the cooler hallway and to put the cooked product truck in the cooler. Predictive modeling was carried out and the results of predicted growth are under 1 log10 CFU which fits for human consumption and can be packed.</t>
    </r>
  </si>
  <si>
    <t>09-2024</t>
  </si>
  <si>
    <t>Sausages 073-14,15,16</t>
  </si>
  <si>
    <r>
      <t xml:space="preserve">RC: </t>
    </r>
    <r>
      <rPr>
        <sz val="8"/>
        <color rgb="FF000000"/>
        <rFont val="Calibri"/>
        <family val="2"/>
        <scheme val="minor"/>
      </rPr>
      <t xml:space="preserve"> Leak coming from the cooling unit due to which the cooler temperature remained at 5 to 4C and as the hot product as transfered in the cooler that brings up the cooler temperature which hinders the cooling CCP. </t>
    </r>
    <r>
      <rPr>
        <b/>
        <sz val="8"/>
        <color rgb="FF000000"/>
        <rFont val="Calibri"/>
        <family val="2"/>
        <scheme val="minor"/>
      </rPr>
      <t>CA:</t>
    </r>
    <r>
      <rPr>
        <sz val="8"/>
        <color rgb="FF000000"/>
        <rFont val="Calibri"/>
        <family val="2"/>
        <scheme val="minor"/>
      </rPr>
      <t xml:space="preserve"> Predictive modeling was carried out and the results of predicted growth are under 1 log10 CFU which fits for human consumption and can be packed. On March 15th, technician installed leak sealant and top up the unit with R22 gas to ensure proper functioning of the unit. Cooler tempearure was monitored on Mar 18th and was at 0C.</t>
    </r>
  </si>
  <si>
    <t>10-2024.A</t>
  </si>
  <si>
    <t>IPC/11061758 scale not functioning well</t>
  </si>
  <si>
    <t>IPC/11061758</t>
  </si>
  <si>
    <t>1 scale</t>
  </si>
  <si>
    <t>scale not fuctioning well</t>
  </si>
  <si>
    <t>Matrix repaired the scale and it is released from hold.</t>
  </si>
  <si>
    <t>10-2024</t>
  </si>
  <si>
    <t>Sausages 080-5,6</t>
  </si>
  <si>
    <r>
      <rPr>
        <b/>
        <sz val="8"/>
        <color rgb="FF000000"/>
        <rFont val="Calibri"/>
        <family val="2"/>
        <scheme val="minor"/>
      </rPr>
      <t>RC:</t>
    </r>
    <r>
      <rPr>
        <sz val="8"/>
        <color rgb="FF000000"/>
        <rFont val="Calibri"/>
        <family val="2"/>
        <scheme val="minor"/>
      </rPr>
      <t xml:space="preserve"> Plant manager, CCP employee were informed about the reoccurance of the cooling ccp deviation and a technician was called in. On investigation it was observed that temperature of cooling unit was lower than the freezing temperature causing an ice built up which froze up the unit and hence the unit was not fuctioning properly due to which the product temperature did not meet CCP. </t>
    </r>
    <r>
      <rPr>
        <b/>
        <sz val="8"/>
        <color rgb="FF000000"/>
        <rFont val="Calibri"/>
        <family val="2"/>
        <scheme val="minor"/>
      </rPr>
      <t xml:space="preserve">CA: </t>
    </r>
    <r>
      <rPr>
        <sz val="8"/>
        <color rgb="FF000000"/>
        <rFont val="Calibri"/>
        <family val="2"/>
        <scheme val="minor"/>
      </rPr>
      <t xml:space="preserve">Predictive modeling was carried out and the results of predicted growth are under 1 log10 CFU which fits for human consumption and can be packed. On March 22nd, technician cleaned the unit and decreased the temperature to below freezing unit. </t>
    </r>
  </si>
  <si>
    <t>German salami</t>
  </si>
  <si>
    <t>155-36</t>
  </si>
  <si>
    <t>Found some moldy</t>
  </si>
  <si>
    <t>GCM Chicken sausage</t>
  </si>
  <si>
    <t>176-3,4,5  BB:25JN24</t>
  </si>
  <si>
    <t>46 cs + 14 pcs</t>
  </si>
  <si>
    <t>Wrong label used</t>
  </si>
  <si>
    <t>11-2024</t>
  </si>
  <si>
    <t xml:space="preserve">Hot strip and mild strip </t>
  </si>
  <si>
    <t>Hot 178-10 (25JN26), Mild 177-46 (25JN25)</t>
  </si>
  <si>
    <t>20 cs ea</t>
  </si>
  <si>
    <t>Cook CCP not met</t>
  </si>
  <si>
    <t xml:space="preserve">RC: (1) The Smokehouse Operator entered the wrong program when cooking for these batches. (2) The required CCP montoring, verification and deviation procedures were not followed before releasing for further packaging. (3) Product Release Program was not implemented and followed properly as per hardzards identified under SQF Food Safety Plan. (4) SOP#11 Pre-Shipment Procedure was not followed  before packaging and shipping non-compliant products. (5) Process controls and documentation of different batches and product SKUs were not followed. CA: (1)Reviewed CCP, production, packaging, and Shipping record - perform Mock Recall exercise to account the total qty produced and shipped with LOT # BBMA 25JN25 (Original) and BBMA 25JN26 (Hot) and Teriyaki Strips - LOT# BBMA 25JN25. (2) Call back all affected products that were shipped, and put on HOLD with products still in inventory. </t>
  </si>
  <si>
    <t>14-2024</t>
  </si>
  <si>
    <t>12-2024</t>
  </si>
  <si>
    <t>All product from July 9, 10, 11 ran on weigh filler line on Hold as CA for L. spieces positive reult</t>
  </si>
  <si>
    <t>L.species observed on CFIA result</t>
  </si>
  <si>
    <t xml:space="preserve">(1)Reviewed the Sanitation Manual SSOP # 14, 20, 21 and the CLEANING AND SANITIZING STEPS (Rev date range from Jan &amp; Dec 2022) which are related to the Packaging Line &amp; machines.  (2) Reviewed the SOP # 02 Environmental Testing on FCSs, NFCSs (Listeria spp.) and Ready-to-Eat (RTE) Products (Rev date: Aug 18, 2023 Rev# 02). (3) Reviewed QC Manual SOP#03 Hold / Release Procedure (Rev date: June 15, 2023 Rev #: 03) (4) Performed an on-site assessment on all Packaging Lines at the RTE area. </t>
  </si>
  <si>
    <t>15-2024</t>
  </si>
  <si>
    <t>GCM salami and cheese</t>
  </si>
  <si>
    <t>24NO01</t>
  </si>
  <si>
    <t>7 cs</t>
  </si>
  <si>
    <t>Unknown liquid observed at the bottom of blue bin</t>
  </si>
  <si>
    <t>RC: product juice released as product was cut and put in the cooler for few days, CA:7 cases of packed product kept on hold to identify if any pathogens present in the product.</t>
  </si>
  <si>
    <t>16-2024</t>
  </si>
  <si>
    <t>Mild 5.5</t>
  </si>
  <si>
    <t>25JL17</t>
  </si>
  <si>
    <t>20 CS + 8 PCS</t>
  </si>
  <si>
    <t>production tag missing</t>
  </si>
  <si>
    <t>GCM pepperoni and cheddar and GCM mild meat and cheese</t>
  </si>
  <si>
    <t>Thursday July 25 swabbing</t>
  </si>
  <si>
    <t>17 cs +9 pcs                                    45 cs</t>
  </si>
  <si>
    <t>Swabbing</t>
  </si>
  <si>
    <t>Monthly swabbing sampling policy</t>
  </si>
  <si>
    <t>GCM meat and cheese</t>
  </si>
  <si>
    <t>August sampling</t>
  </si>
  <si>
    <t>all product on day</t>
  </si>
  <si>
    <t>GCM monterey jack meat and cheese</t>
  </si>
  <si>
    <t>25FE02</t>
  </si>
  <si>
    <t>30 cases</t>
  </si>
  <si>
    <t>Monterey cheese from Paradise Island</t>
  </si>
  <si>
    <t>random lots in month of August</t>
  </si>
  <si>
    <t>9.78 kg</t>
  </si>
  <si>
    <t>crumbling and fragile cheese stick</t>
  </si>
  <si>
    <t>Working with Supplier</t>
  </si>
  <si>
    <t>GCM Mild 40g</t>
  </si>
  <si>
    <t>255-25,26 (25SE11)</t>
  </si>
  <si>
    <t>29 CS + 4 pcs</t>
  </si>
  <si>
    <t>Cooking CCP not met for batch 255-25</t>
  </si>
  <si>
    <t>17-2024</t>
  </si>
  <si>
    <t>GCM Teriyaki 68g</t>
  </si>
  <si>
    <t>25OC03</t>
  </si>
  <si>
    <t>39 cases</t>
  </si>
  <si>
    <t>Wrong BB (25SE03) added on the bag</t>
  </si>
  <si>
    <t>Due to human error instead of 25OC03, 25SE03 was added on 39 cases. With management decision, shorter best before was accepted and as there is no food safety, all 39 cases were released from human consumption.</t>
  </si>
  <si>
    <t>GCM Mild Buffalo Chicken 25G</t>
  </si>
  <si>
    <t>25OC04</t>
  </si>
  <si>
    <t>31 cs + 14 pcs</t>
  </si>
  <si>
    <t>sealing error</t>
  </si>
  <si>
    <t>Reopening the product to repack, it was repacked on line 4</t>
  </si>
  <si>
    <t>18-2024</t>
  </si>
  <si>
    <t>Hot 58g test batches (0.0025)</t>
  </si>
  <si>
    <t>25NO05</t>
  </si>
  <si>
    <t>1 case</t>
  </si>
  <si>
    <t>Test batches with new ingredient Oleoresin Capsicum</t>
  </si>
  <si>
    <t>Formula not accepted</t>
  </si>
  <si>
    <t>19-2024</t>
  </si>
  <si>
    <t>Hot 58g test batches (0.0045)</t>
  </si>
  <si>
    <t>20-2024</t>
  </si>
  <si>
    <t>Hot 58g test batches (0.0075)</t>
  </si>
  <si>
    <t>21-2024</t>
  </si>
  <si>
    <t>Nate and chris mild bulk</t>
  </si>
  <si>
    <t>25NO13</t>
  </si>
  <si>
    <t>1 pallet</t>
  </si>
  <si>
    <t>Test batch including 5% Carm. return</t>
  </si>
  <si>
    <t>22-2024</t>
  </si>
  <si>
    <t>GCM mild mini 225g</t>
  </si>
  <si>
    <t>25NO19</t>
  </si>
  <si>
    <t>45 CS (28x225g) + 13 CS (8x225g)</t>
  </si>
  <si>
    <t>Less MAP</t>
  </si>
  <si>
    <t>Product released after daily checking for O2 level in the bag</t>
  </si>
  <si>
    <t>23-2024</t>
  </si>
  <si>
    <t>Hot 45g Test#1</t>
  </si>
  <si>
    <t>330-39</t>
  </si>
  <si>
    <t xml:space="preserve">4 cases  </t>
  </si>
  <si>
    <t>Test batch</t>
  </si>
  <si>
    <t>Formula was not accepted and not released</t>
  </si>
  <si>
    <t>Hot 45g Test#2</t>
  </si>
  <si>
    <t>330-40</t>
  </si>
  <si>
    <t>Hot 45g Test#3</t>
  </si>
  <si>
    <t>330-41</t>
  </si>
  <si>
    <t xml:space="preserve">3 cases  </t>
  </si>
  <si>
    <t>Hot 45g Test#4</t>
  </si>
  <si>
    <t>330-42</t>
  </si>
  <si>
    <t>Formula accepted.</t>
  </si>
  <si>
    <t>24-2024</t>
  </si>
  <si>
    <t>GCM Original strip 9" 20g</t>
  </si>
  <si>
    <t>25NO27</t>
  </si>
  <si>
    <t>72 cases</t>
  </si>
  <si>
    <t>Listeria spieces positive on FCS</t>
  </si>
  <si>
    <t>Followed company policy and Listeria program set by CFIA and once all result were obtained satisfactory the product was released.</t>
  </si>
  <si>
    <t>25NO26</t>
  </si>
  <si>
    <t>150 cases</t>
  </si>
  <si>
    <t>25-2024</t>
  </si>
  <si>
    <t>GCM Teriyaki strip 9" 20g</t>
  </si>
  <si>
    <t>25NO25</t>
  </si>
  <si>
    <t>5 cases</t>
  </si>
  <si>
    <t>26-2024</t>
  </si>
  <si>
    <t>25DE02</t>
  </si>
  <si>
    <t>75 cases</t>
  </si>
  <si>
    <t>25300 GCM Pepperoni and chadder cheese</t>
  </si>
  <si>
    <t>25AP04</t>
  </si>
  <si>
    <t>84 + 5 cases</t>
  </si>
  <si>
    <t>Incorrect BB format used. Instead of 'AL' for April 'AP' was used</t>
  </si>
  <si>
    <t>1. Product was put on HOLD</t>
  </si>
  <si>
    <t>25304 Pepperoni and Jalapeno monterey jack</t>
  </si>
  <si>
    <t>25AP24</t>
  </si>
  <si>
    <t>10+37+40+7 cases</t>
  </si>
  <si>
    <t xml:space="preserve">2.Employees were trained CFIA approved BB formating </t>
  </si>
  <si>
    <t>25302 GCM Salami and chadder cheese</t>
  </si>
  <si>
    <t>28 cases</t>
  </si>
  <si>
    <t xml:space="preserve">3. Risk factor was evaluated. As food safety was not harmed and 'AP' appears to be April not causing confusion at consumer level, the products were marginally passed and released </t>
  </si>
  <si>
    <t>Signature</t>
  </si>
  <si>
    <t>March 26 2023</t>
  </si>
  <si>
    <t>2kg Scale IPC:11061758</t>
  </si>
  <si>
    <t>During calibration, scale did not weigh similer to certified weight</t>
  </si>
  <si>
    <t>Next calibration (In month of August)</t>
  </si>
  <si>
    <t>Scale is isolated and kept on Hold until calibrated</t>
  </si>
  <si>
    <t>Aug 24 2023</t>
  </si>
  <si>
    <t>02-2023</t>
  </si>
  <si>
    <t>May 29 2023</t>
  </si>
  <si>
    <t>2kg Scale IPC:11061748</t>
  </si>
  <si>
    <t>03-2023</t>
  </si>
  <si>
    <t>Jun 21 2023</t>
  </si>
  <si>
    <t>Hot Jumbo</t>
  </si>
  <si>
    <t>170-21, 170-22</t>
  </si>
  <si>
    <t>No thermograph was recorded</t>
  </si>
  <si>
    <t>Within a week from identification</t>
  </si>
  <si>
    <t>Refer FOOD SAFETY DEVIATION RECORD#2023-02</t>
  </si>
  <si>
    <t>Jun 26 2023</t>
  </si>
  <si>
    <t>04-2023</t>
  </si>
  <si>
    <t>Jun 30 2023</t>
  </si>
  <si>
    <t>GCM Sriracha mini peps</t>
  </si>
  <si>
    <t>2024JN19</t>
  </si>
  <si>
    <t>9 cases</t>
  </si>
  <si>
    <t>Wrong case label</t>
  </si>
  <si>
    <t>Refer FOOD SAFETY DEVIATION RECORD#2023-03</t>
  </si>
  <si>
    <t>05-2023</t>
  </si>
  <si>
    <t>Aug 14 2023</t>
  </si>
  <si>
    <t>Hot Jumbo (Aug 7, 2023)</t>
  </si>
  <si>
    <t>219-6</t>
  </si>
  <si>
    <t>970 pieces</t>
  </si>
  <si>
    <t>Product was soft</t>
  </si>
  <si>
    <t>The water activity of the product was done and was as per company guildelines which is 0.770 under 0.80. After doing sensory evaluation it appeared to be fatty. But not all pieces appeared and tested fatty. 1 person (Rose) was designated to go through the product one by one to isolate good and bad-soft/saggy pieces. Good pieces were packed and bad pieces were discarded under Stefan &amp; Gary's supervision.</t>
  </si>
  <si>
    <t>Aug 17 2023</t>
  </si>
  <si>
    <t>06-2023</t>
  </si>
  <si>
    <t>Aug 23 2023</t>
  </si>
  <si>
    <t>5 uniforms</t>
  </si>
  <si>
    <t>Uniforms were collected to test for annual Listeria testing</t>
  </si>
  <si>
    <t>Based on arrival time of lab result</t>
  </si>
  <si>
    <t>Once result arrives, test result will be filled and unforms will be discarded to laundry bin.</t>
  </si>
  <si>
    <t>Aug 28 2023</t>
  </si>
  <si>
    <t>07-2023</t>
  </si>
  <si>
    <t>Sep 12 2023</t>
  </si>
  <si>
    <t>GCM Mild Individual</t>
  </si>
  <si>
    <t>24AU30</t>
  </si>
  <si>
    <t>Sealing error causing a small gap</t>
  </si>
  <si>
    <t>2 cases in which the error was oberved was evaluated piece by piece to ensure the sealing error and product intactness. 06 individual pieces were isolated which was discarded. Packaging employee retrained.</t>
  </si>
  <si>
    <t>Sep 14 2023</t>
  </si>
  <si>
    <t>08-2023</t>
  </si>
  <si>
    <t>Sep 22 2023</t>
  </si>
  <si>
    <t>Mild pepperoni stick unit 14.5 kg (Canada Compound)</t>
  </si>
  <si>
    <t>2 bags of P2309001 (2024/MR/01) and 1 bag of 2024/FE/05</t>
  </si>
  <si>
    <t>3 bags</t>
  </si>
  <si>
    <t>No cure in the bag</t>
  </si>
  <si>
    <t>Contacted Supplier, Temperory employee missed to add cure bag in the product bag.Employees were retrained. 3 bags were discarded for which supplier provided credit.</t>
  </si>
  <si>
    <t>Sep 25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</si>
</sst>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_);[Red]\(&quot;$&quot;#,##0\)"/>
    <numFmt numFmtId="165" formatCode="&quot;$&quot;#,##0.00_);[Red]\(&quot;$&quot;#,##0.00\)"/>
    <numFmt numFmtId="166" formatCode="[$-1009]d/mmm/yy;@"/>
    <numFmt numFmtId="167" formatCode="[$-409]d\-mmm\-yy;@"/>
  </numFmts>
  <fonts count="4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b/>
      <sz val="11"/>
      <color theme="1"/>
      <name val="Calibri"/>
      <family val="2"/>
    </font>
    <font>
      <sz val="10"/>
      <color theme="1"/>
      <name val="Calibri"/>
      <family val="2"/>
    </font>
    <font>
      <sz val="11"/>
      <color theme="1"/>
      <name val="Calibri"/>
      <family val="2"/>
    </font>
    <font>
      <b/>
      <sz val="12"/>
      <color theme="1"/>
      <name val="Calibri"/>
      <family val="2"/>
    </font>
    <font>
      <b/>
      <sz val="11"/>
      <color rgb="FF002060"/>
      <name val="Arial"/>
      <family val="2"/>
    </font>
    <font>
      <i/>
      <sz val="10"/>
      <color theme="1"/>
      <name val="Calibri"/>
      <family val="2"/>
    </font>
    <font>
      <sz val="11"/>
      <color rgb="FF002060"/>
      <name val="Arial"/>
      <family val="2"/>
    </font>
    <font>
      <sz val="11"/>
      <color theme="1"/>
      <name val="Arial"/>
      <family val="2"/>
    </font>
    <font>
      <sz val="12"/>
      <color theme="1"/>
      <name val="Calibri"/>
      <family val="2"/>
      <scheme val="minor"/>
    </font>
    <font>
      <u/>
      <sz val="11"/>
      <color theme="10"/>
      <name val="Calibri"/>
      <family val="2"/>
      <scheme val="minor"/>
    </font>
    <font>
      <u/>
      <sz val="10"/>
      <color indexed="12"/>
      <name val="Arial"/>
      <family val="2"/>
    </font>
    <font>
      <sz val="10"/>
      <name val="Arial"/>
      <family val="2"/>
    </font>
    <font>
      <u/>
      <sz val="12"/>
      <color theme="10"/>
      <name val="Calibri"/>
      <family val="2"/>
    </font>
    <font>
      <sz val="11"/>
      <color indexed="8"/>
      <name val="Calibri"/>
      <family val="2"/>
    </font>
    <font>
      <u/>
      <sz val="11"/>
      <color theme="10"/>
      <name val="Arial"/>
      <family val="2"/>
    </font>
    <font>
      <u/>
      <sz val="11"/>
      <color theme="10"/>
      <name val="Calibri"/>
      <family val="2"/>
    </font>
    <font>
      <sz val="11"/>
      <color rgb="FFFF0000"/>
      <name val="Calibri"/>
      <family val="2"/>
      <scheme val="minor"/>
    </font>
    <font>
      <sz val="11"/>
      <color theme="1"/>
      <name val="Calibri"/>
      <family val="2"/>
      <scheme val="major"/>
    </font>
    <font>
      <sz val="16"/>
      <color rgb="FF000000"/>
      <name val="Calibri"/>
      <family val="2"/>
      <scheme val="minor"/>
    </font>
    <font>
      <b/>
      <sz val="11"/>
      <color theme="1"/>
      <name val="Calibri"/>
      <family val="2"/>
      <scheme val="minor"/>
    </font>
    <font>
      <sz val="16"/>
      <color theme="1"/>
      <name val="Calibri"/>
      <family val="2"/>
      <scheme val="minor"/>
    </font>
    <font>
      <sz val="10"/>
      <color theme="1"/>
      <name val="Calibri"/>
      <family val="2"/>
      <scheme val="minor"/>
    </font>
    <font>
      <sz val="8"/>
      <color theme="1"/>
      <name val="Calibri"/>
      <family val="2"/>
      <scheme val="minor"/>
    </font>
    <font>
      <sz val="8"/>
      <color rgb="FF000000"/>
      <name val="Calibri"/>
      <family val="2"/>
      <scheme val="minor"/>
    </font>
    <font>
      <b/>
      <sz val="8"/>
      <color rgb="FF000000"/>
      <name val="Calibri"/>
      <family val="2"/>
      <scheme val="minor"/>
    </font>
    <font>
      <sz val="9"/>
      <color theme="1"/>
      <name val="Calibri"/>
      <family val="2"/>
    </font>
    <font>
      <sz val="9"/>
      <color theme="1"/>
      <name val="Calibri"/>
      <family val="2"/>
      <scheme val="minor"/>
    </font>
    <font>
      <sz val="12"/>
      <color theme="1"/>
      <name val="Calibri"/>
      <family val="2"/>
      <scheme val="minor"/>
    </font>
    <font>
      <sz val="11"/>
      <color rgb="FF000000"/>
      <name val="Calibri"/>
      <family val="2"/>
      <scheme val="minor"/>
    </font>
    <font>
      <i/>
      <sz val="11"/>
      <color rgb="FF000000"/>
      <name val="Calibri"/>
      <family val="2"/>
      <scheme val="minor"/>
    </font>
    <font>
      <b/>
      <sz val="10"/>
      <name val="Arial"/>
      <family val="2"/>
    </font>
    <font>
      <sz val="11"/>
      <color rgb="FF000000"/>
      <name val="Calibri"/>
      <family val="2"/>
    </font>
  </fonts>
  <fills count="15">
    <fill>
      <patternFill patternType="none"/>
    </fill>
    <fill>
      <patternFill patternType="gray125"/>
    </fill>
    <fill>
      <patternFill patternType="solid">
        <fgColor rgb="FFF2F2F2"/>
        <bgColor rgb="FFF2F2F2"/>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rgb="FF99CCFF"/>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rgb="FFFFC000"/>
        <bgColor indexed="64"/>
      </patternFill>
    </fill>
    <fill>
      <patternFill patternType="solid">
        <fgColor theme="6"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2" tint="-0.499984740745262"/>
        <bgColor indexed="64"/>
      </patternFill>
    </fill>
    <fill>
      <patternFill patternType="solid">
        <fgColor theme="1" tint="0.499984740745262"/>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9">
    <xf numFmtId="0" fontId="0" fillId="0" borderId="0"/>
    <xf numFmtId="0" fontId="9" fillId="0" borderId="4"/>
    <xf numFmtId="9" fontId="9" fillId="0" borderId="4" applyFont="0" applyFill="0" applyBorder="0" applyAlignment="0" applyProtection="0"/>
    <xf numFmtId="0" fontId="21" fillId="0" borderId="4" applyNumberFormat="0" applyFill="0" applyBorder="0" applyAlignment="0" applyProtection="0">
      <alignment vertical="top"/>
      <protection locked="0"/>
    </xf>
    <xf numFmtId="0" fontId="22" fillId="0" borderId="4"/>
    <xf numFmtId="0" fontId="23" fillId="0" borderId="4" applyNumberFormat="0" applyFill="0" applyBorder="0" applyAlignment="0" applyProtection="0"/>
    <xf numFmtId="0" fontId="24" fillId="0" borderId="4"/>
    <xf numFmtId="0" fontId="19" fillId="0" borderId="4"/>
    <xf numFmtId="0" fontId="8" fillId="0" borderId="4"/>
    <xf numFmtId="0" fontId="18" fillId="0" borderId="4"/>
    <xf numFmtId="0" fontId="22" fillId="0" borderId="4"/>
    <xf numFmtId="0" fontId="25" fillId="0" borderId="4" applyNumberFormat="0" applyFill="0" applyBorder="0" applyAlignment="0" applyProtection="0"/>
    <xf numFmtId="0" fontId="7" fillId="0" borderId="4"/>
    <xf numFmtId="0" fontId="7" fillId="0" borderId="4"/>
    <xf numFmtId="0" fontId="22" fillId="0" borderId="4"/>
    <xf numFmtId="0" fontId="22" fillId="0" borderId="4"/>
    <xf numFmtId="0" fontId="24" fillId="0" borderId="4"/>
    <xf numFmtId="0" fontId="26" fillId="0" borderId="4" applyNumberFormat="0" applyFill="0" applyBorder="0" applyAlignment="0" applyProtection="0">
      <alignment vertical="top"/>
      <protection locked="0"/>
    </xf>
    <xf numFmtId="0" fontId="6" fillId="0" borderId="4"/>
    <xf numFmtId="0" fontId="6" fillId="0" borderId="4"/>
    <xf numFmtId="9" fontId="6" fillId="0" borderId="4" applyFont="0" applyFill="0" applyBorder="0" applyAlignment="0" applyProtection="0"/>
    <xf numFmtId="0" fontId="5" fillId="0" borderId="4"/>
    <xf numFmtId="0" fontId="4" fillId="0" borderId="4"/>
    <xf numFmtId="0" fontId="3" fillId="0" borderId="4"/>
    <xf numFmtId="0" fontId="20" fillId="0" borderId="4" applyNumberFormat="0" applyFill="0" applyBorder="0" applyAlignment="0" applyProtection="0"/>
    <xf numFmtId="0" fontId="2" fillId="0" borderId="4"/>
    <xf numFmtId="166" fontId="2" fillId="0" borderId="4"/>
    <xf numFmtId="166" fontId="22" fillId="0" borderId="4"/>
    <xf numFmtId="0" fontId="1" fillId="0" borderId="4"/>
  </cellStyleXfs>
  <cellXfs count="329">
    <xf numFmtId="0" fontId="0" fillId="0" borderId="0" xfId="0"/>
    <xf numFmtId="0" fontId="14"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vertical="center"/>
    </xf>
    <xf numFmtId="0" fontId="12" fillId="0" borderId="1" xfId="0" applyFont="1" applyBorder="1" applyAlignment="1">
      <alignment vertical="center"/>
    </xf>
    <xf numFmtId="0" fontId="17" fillId="2" borderId="4" xfId="0" applyFont="1" applyFill="1" applyBorder="1"/>
    <xf numFmtId="49" fontId="13" fillId="0" borderId="1" xfId="0" applyNumberFormat="1" applyFont="1" applyBorder="1" applyAlignment="1">
      <alignment horizontal="center" vertical="center"/>
    </xf>
    <xf numFmtId="0" fontId="13" fillId="0" borderId="1" xfId="0" applyFont="1" applyBorder="1" applyAlignment="1">
      <alignment vertical="center" wrapText="1"/>
    </xf>
    <xf numFmtId="0" fontId="13" fillId="0" borderId="1" xfId="0" applyFont="1" applyBorder="1" applyAlignment="1">
      <alignment horizontal="left" vertical="center" wrapText="1"/>
    </xf>
    <xf numFmtId="15" fontId="13" fillId="0" borderId="1" xfId="0" applyNumberFormat="1" applyFont="1" applyBorder="1" applyAlignment="1">
      <alignment horizontal="left" vertical="center"/>
    </xf>
    <xf numFmtId="49" fontId="13" fillId="0" borderId="8" xfId="0" applyNumberFormat="1" applyFont="1" applyBorder="1" applyAlignment="1">
      <alignment horizontal="center" vertical="center"/>
    </xf>
    <xf numFmtId="0" fontId="13" fillId="0" borderId="1" xfId="0" applyFont="1" applyBorder="1" applyAlignment="1">
      <alignment horizontal="left" vertical="center"/>
    </xf>
    <xf numFmtId="0" fontId="0" fillId="0" borderId="4" xfId="0" applyBorder="1"/>
    <xf numFmtId="0" fontId="13" fillId="0" borderId="8" xfId="0" applyFont="1" applyBorder="1" applyAlignment="1">
      <alignment horizontal="center" vertical="center"/>
    </xf>
    <xf numFmtId="0" fontId="13" fillId="0" borderId="8" xfId="0" applyFont="1" applyBorder="1" applyAlignment="1">
      <alignment vertical="center" wrapText="1"/>
    </xf>
    <xf numFmtId="0" fontId="13" fillId="0" borderId="8" xfId="0" applyFont="1" applyBorder="1" applyAlignment="1">
      <alignment horizontal="left" vertical="center"/>
    </xf>
    <xf numFmtId="0" fontId="13" fillId="0" borderId="8" xfId="0" applyFont="1" applyBorder="1" applyAlignment="1">
      <alignment horizontal="left" vertical="center" wrapText="1"/>
    </xf>
    <xf numFmtId="15" fontId="13" fillId="0" borderId="8" xfId="0" applyNumberFormat="1" applyFont="1" applyBorder="1" applyAlignment="1">
      <alignment horizontal="left" vertical="center"/>
    </xf>
    <xf numFmtId="0" fontId="27" fillId="0" borderId="4" xfId="0" applyFont="1" applyBorder="1" applyAlignment="1">
      <alignment vertical="top" wrapText="1"/>
    </xf>
    <xf numFmtId="0" fontId="28" fillId="0" borderId="1" xfId="0" applyFont="1" applyBorder="1" applyAlignment="1">
      <alignment horizontal="left" vertical="center" wrapText="1"/>
    </xf>
    <xf numFmtId="0" fontId="28" fillId="4" borderId="1" xfId="0" applyFont="1" applyFill="1" applyBorder="1" applyAlignment="1">
      <alignment horizontal="left" vertical="center" wrapText="1"/>
    </xf>
    <xf numFmtId="15" fontId="28" fillId="0" borderId="1" xfId="0" applyNumberFormat="1" applyFont="1" applyBorder="1" applyAlignment="1">
      <alignment horizontal="left" vertical="center" wrapText="1"/>
    </xf>
    <xf numFmtId="0" fontId="28" fillId="4" borderId="1" xfId="0" applyFont="1" applyFill="1" applyBorder="1" applyAlignment="1">
      <alignment horizontal="center" vertical="center" wrapText="1"/>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17" fillId="2" borderId="4" xfId="0" applyFont="1" applyFill="1"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30" fillId="0" borderId="1" xfId="0" applyFont="1" applyBorder="1" applyAlignment="1">
      <alignment horizontal="center" vertical="center" wrapText="1"/>
    </xf>
    <xf numFmtId="0" fontId="0" fillId="0" borderId="1" xfId="0" applyBorder="1" applyAlignment="1">
      <alignment horizontal="center" vertical="center"/>
    </xf>
    <xf numFmtId="49"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wrapText="1"/>
    </xf>
    <xf numFmtId="0" fontId="11" fillId="0" borderId="5" xfId="0" applyFont="1" applyBorder="1" applyAlignment="1">
      <alignment horizontal="center" vertical="center" wrapText="1"/>
    </xf>
    <xf numFmtId="15" fontId="13" fillId="4" borderId="1" xfId="0" applyNumberFormat="1" applyFont="1" applyFill="1" applyBorder="1" applyAlignment="1">
      <alignment horizontal="left" vertical="center"/>
    </xf>
    <xf numFmtId="0" fontId="0" fillId="0" borderId="1" xfId="0" applyBorder="1" applyAlignment="1">
      <alignment horizontal="left" vertical="center"/>
    </xf>
    <xf numFmtId="49" fontId="28" fillId="0" borderId="5" xfId="0" applyNumberFormat="1" applyFont="1" applyBorder="1" applyAlignment="1">
      <alignment horizontal="center" vertical="center" wrapText="1"/>
    </xf>
    <xf numFmtId="49" fontId="13" fillId="0" borderId="5" xfId="0" applyNumberFormat="1" applyFont="1" applyBorder="1" applyAlignment="1">
      <alignment horizontal="center" vertical="center"/>
    </xf>
    <xf numFmtId="49" fontId="29" fillId="0" borderId="9" xfId="0" applyNumberFormat="1" applyFont="1" applyBorder="1" applyAlignment="1">
      <alignment horizontal="center" vertical="center" wrapText="1"/>
    </xf>
    <xf numFmtId="0" fontId="0" fillId="0" borderId="1" xfId="0" applyBorder="1" applyAlignment="1">
      <alignment vertical="center" wrapText="1"/>
    </xf>
    <xf numFmtId="49" fontId="29" fillId="3" borderId="1" xfId="0" applyNumberFormat="1" applyFont="1" applyFill="1" applyBorder="1" applyAlignment="1">
      <alignment horizontal="center" vertical="center" wrapText="1"/>
    </xf>
    <xf numFmtId="49" fontId="13" fillId="0" borderId="7" xfId="0" applyNumberFormat="1" applyFont="1" applyBorder="1" applyAlignment="1">
      <alignment horizontal="center" vertical="center"/>
    </xf>
    <xf numFmtId="15" fontId="13" fillId="0" borderId="9" xfId="0" applyNumberFormat="1" applyFont="1" applyBorder="1" applyAlignment="1">
      <alignment horizontal="left" vertical="center"/>
    </xf>
    <xf numFmtId="0" fontId="13" fillId="0" borderId="9" xfId="0" applyFont="1" applyBorder="1" applyAlignment="1">
      <alignment horizontal="left" vertical="center"/>
    </xf>
    <xf numFmtId="0" fontId="13" fillId="0" borderId="9" xfId="0" applyFont="1" applyBorder="1" applyAlignment="1">
      <alignment vertical="center"/>
    </xf>
    <xf numFmtId="0" fontId="13" fillId="0" borderId="9" xfId="0" applyFont="1" applyBorder="1" applyAlignment="1">
      <alignment horizontal="left" vertical="center" wrapText="1"/>
    </xf>
    <xf numFmtId="0" fontId="13" fillId="0" borderId="9" xfId="0" applyFont="1" applyBorder="1" applyAlignment="1">
      <alignment vertical="center" wrapText="1"/>
    </xf>
    <xf numFmtId="49" fontId="13" fillId="0" borderId="1" xfId="0" applyNumberFormat="1" applyFont="1" applyBorder="1" applyAlignment="1">
      <alignment horizontal="center" vertical="center" wrapText="1"/>
    </xf>
    <xf numFmtId="0" fontId="12" fillId="0" borderId="1" xfId="0" applyFont="1" applyBorder="1" applyAlignment="1">
      <alignment vertical="center" wrapText="1"/>
    </xf>
    <xf numFmtId="0" fontId="31" fillId="3" borderId="1" xfId="0" applyFont="1" applyFill="1" applyBorder="1" applyAlignment="1">
      <alignment horizontal="center" vertical="center" wrapText="1"/>
    </xf>
    <xf numFmtId="15" fontId="13" fillId="0" borderId="1" xfId="0" applyNumberFormat="1" applyFont="1" applyBorder="1" applyAlignment="1">
      <alignment vertical="center"/>
    </xf>
    <xf numFmtId="0" fontId="32" fillId="0" borderId="1" xfId="0" applyFont="1" applyBorder="1" applyAlignment="1">
      <alignment vertical="center" wrapText="1"/>
    </xf>
    <xf numFmtId="0" fontId="33" fillId="0" borderId="1" xfId="0" applyFont="1" applyBorder="1" applyAlignment="1">
      <alignment horizontal="left" vertical="center" wrapText="1"/>
    </xf>
    <xf numFmtId="0" fontId="34" fillId="0" borderId="1" xfId="0" applyFont="1" applyBorder="1" applyAlignment="1">
      <alignment horizontal="left" vertical="center" wrapText="1"/>
    </xf>
    <xf numFmtId="0" fontId="34" fillId="0" borderId="1" xfId="0" applyFont="1" applyBorder="1" applyAlignment="1">
      <alignment vertical="center" wrapText="1"/>
    </xf>
    <xf numFmtId="0" fontId="35" fillId="0" borderId="1" xfId="0" applyFont="1" applyBorder="1" applyAlignment="1">
      <alignment vertical="center" wrapText="1"/>
    </xf>
    <xf numFmtId="0" fontId="34" fillId="0" borderId="9" xfId="0" applyFont="1" applyBorder="1" applyAlignment="1">
      <alignment vertical="center" wrapText="1"/>
    </xf>
    <xf numFmtId="0" fontId="33" fillId="0" borderId="1" xfId="0" applyFont="1" applyBorder="1" applyAlignment="1">
      <alignment vertical="center"/>
    </xf>
    <xf numFmtId="0" fontId="33" fillId="0" borderId="1" xfId="0" applyFont="1" applyBorder="1" applyAlignment="1">
      <alignment vertical="center" wrapText="1"/>
    </xf>
    <xf numFmtId="0" fontId="36" fillId="0" borderId="1" xfId="0" applyFont="1" applyBorder="1" applyAlignment="1">
      <alignment vertical="center" wrapText="1"/>
    </xf>
    <xf numFmtId="0" fontId="17" fillId="2" borderId="4" xfId="0" applyFont="1" applyFill="1" applyBorder="1" applyAlignment="1">
      <alignment vertical="center"/>
    </xf>
    <xf numFmtId="0" fontId="0" fillId="0" borderId="0" xfId="0" applyAlignment="1">
      <alignment vertical="center"/>
    </xf>
    <xf numFmtId="0" fontId="0" fillId="0" borderId="4" xfId="0" applyBorder="1" applyAlignment="1">
      <alignment vertical="center"/>
    </xf>
    <xf numFmtId="0" fontId="0" fillId="0" borderId="4" xfId="0" applyBorder="1" applyAlignment="1">
      <alignment vertical="center" wrapText="1"/>
    </xf>
    <xf numFmtId="0" fontId="0" fillId="0" borderId="0" xfId="0" applyAlignment="1">
      <alignment vertical="center" wrapText="1"/>
    </xf>
    <xf numFmtId="0" fontId="37" fillId="0" borderId="1" xfId="0" applyFont="1" applyBorder="1" applyAlignment="1">
      <alignment vertical="center" wrapText="1"/>
    </xf>
    <xf numFmtId="15" fontId="13" fillId="0" borderId="1" xfId="0" applyNumberFormat="1" applyFont="1" applyBorder="1" applyAlignment="1">
      <alignment horizontal="left" vertical="center" wrapText="1"/>
    </xf>
    <xf numFmtId="15" fontId="0" fillId="0" borderId="1" xfId="0" applyNumberFormat="1" applyBorder="1" applyAlignment="1">
      <alignment horizontal="left" vertical="center" wrapText="1"/>
    </xf>
    <xf numFmtId="0" fontId="12" fillId="0" borderId="1" xfId="0" applyFont="1" applyBorder="1" applyAlignment="1">
      <alignment horizontal="left" vertical="center" wrapText="1"/>
    </xf>
    <xf numFmtId="15" fontId="0" fillId="0" borderId="1" xfId="0" applyNumberFormat="1" applyBorder="1" applyAlignment="1">
      <alignment vertical="center" wrapText="1"/>
    </xf>
    <xf numFmtId="0" fontId="35" fillId="0" borderId="9" xfId="0" applyFont="1" applyBorder="1" applyAlignment="1">
      <alignment vertical="center" wrapText="1"/>
    </xf>
    <xf numFmtId="0" fontId="0" fillId="3" borderId="1" xfId="0" applyFill="1" applyBorder="1" applyAlignment="1">
      <alignment vertical="center" wrapText="1"/>
    </xf>
    <xf numFmtId="0" fontId="0" fillId="0" borderId="9" xfId="0" applyBorder="1" applyAlignment="1">
      <alignment vertical="center" wrapText="1"/>
    </xf>
    <xf numFmtId="0" fontId="0" fillId="4" borderId="1" xfId="0" applyFill="1" applyBorder="1" applyAlignment="1">
      <alignment vertical="center"/>
    </xf>
    <xf numFmtId="0" fontId="0" fillId="0" borderId="8" xfId="0" applyBorder="1" applyAlignment="1">
      <alignment vertical="center" wrapText="1"/>
    </xf>
    <xf numFmtId="14" fontId="0" fillId="4" borderId="1" xfId="0" applyNumberFormat="1" applyFill="1" applyBorder="1" applyAlignment="1">
      <alignment vertical="center"/>
    </xf>
    <xf numFmtId="0" fontId="0" fillId="4" borderId="1" xfId="0" applyFill="1" applyBorder="1" applyAlignment="1">
      <alignment vertical="center" wrapText="1"/>
    </xf>
    <xf numFmtId="0" fontId="0" fillId="3" borderId="1" xfId="0" applyFill="1" applyBorder="1" applyAlignment="1">
      <alignment vertical="center"/>
    </xf>
    <xf numFmtId="0" fontId="0" fillId="0" borderId="5" xfId="0" applyBorder="1" applyAlignment="1">
      <alignment wrapText="1"/>
    </xf>
    <xf numFmtId="0" fontId="0" fillId="0" borderId="11" xfId="0" applyBorder="1" applyAlignment="1">
      <alignment vertical="center" wrapText="1"/>
    </xf>
    <xf numFmtId="0" fontId="11" fillId="0" borderId="1" xfId="0" applyFont="1" applyBorder="1" applyAlignment="1">
      <alignment vertical="center" wrapText="1"/>
    </xf>
    <xf numFmtId="0" fontId="28" fillId="4" borderId="1" xfId="0" applyFont="1" applyFill="1" applyBorder="1" applyAlignment="1">
      <alignment vertical="center" wrapText="1"/>
    </xf>
    <xf numFmtId="0" fontId="13" fillId="4" borderId="1" xfId="0" applyFont="1" applyFill="1" applyBorder="1" applyAlignment="1">
      <alignment vertical="center"/>
    </xf>
    <xf numFmtId="0" fontId="0" fillId="4" borderId="8" xfId="0" applyFill="1" applyBorder="1" applyAlignment="1">
      <alignment vertical="center"/>
    </xf>
    <xf numFmtId="0" fontId="0" fillId="0" borderId="10" xfId="0" applyBorder="1" applyAlignment="1">
      <alignment vertical="center" wrapText="1"/>
    </xf>
    <xf numFmtId="0" fontId="0" fillId="4" borderId="2" xfId="0" applyFill="1" applyBorder="1" applyAlignment="1">
      <alignment vertical="center"/>
    </xf>
    <xf numFmtId="15" fontId="0" fillId="0" borderId="9" xfId="0" applyNumberFormat="1" applyBorder="1" applyAlignment="1">
      <alignment vertical="center" wrapText="1"/>
    </xf>
    <xf numFmtId="0" fontId="0" fillId="0" borderId="1" xfId="0" applyBorder="1"/>
    <xf numFmtId="49" fontId="0" fillId="0" borderId="1" xfId="0" applyNumberFormat="1" applyBorder="1" applyAlignment="1">
      <alignment vertical="center"/>
    </xf>
    <xf numFmtId="49" fontId="28" fillId="0" borderId="5" xfId="0" applyNumberFormat="1" applyFont="1" applyBorder="1" applyAlignment="1">
      <alignmen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vertical="center"/>
    </xf>
    <xf numFmtId="15" fontId="0" fillId="0" borderId="1" xfId="0" applyNumberFormat="1" applyBorder="1" applyAlignment="1">
      <alignment horizontal="left" vertical="center"/>
    </xf>
    <xf numFmtId="0" fontId="0" fillId="0" borderId="0" xfId="0" applyAlignment="1">
      <alignment horizontal="left" vertical="center"/>
    </xf>
    <xf numFmtId="49" fontId="17" fillId="2" borderId="4" xfId="0" applyNumberFormat="1" applyFont="1" applyFill="1" applyBorder="1" applyAlignment="1">
      <alignment horizontal="center" vertical="center"/>
    </xf>
    <xf numFmtId="49" fontId="0" fillId="0" borderId="4" xfId="0" applyNumberFormat="1" applyBorder="1" applyAlignment="1">
      <alignment horizontal="center" vertical="center"/>
    </xf>
    <xf numFmtId="49" fontId="0" fillId="4" borderId="1" xfId="0" applyNumberFormat="1" applyFill="1" applyBorder="1" applyAlignment="1">
      <alignment horizontal="left" vertical="center"/>
    </xf>
    <xf numFmtId="15" fontId="0" fillId="0" borderId="2" xfId="0" applyNumberFormat="1" applyBorder="1" applyAlignment="1">
      <alignment horizontal="left" vertical="center" wrapText="1"/>
    </xf>
    <xf numFmtId="49" fontId="28" fillId="0" borderId="7" xfId="0" applyNumberFormat="1" applyFont="1" applyBorder="1" applyAlignment="1">
      <alignment vertical="center" wrapText="1"/>
    </xf>
    <xf numFmtId="49" fontId="0" fillId="0" borderId="5" xfId="0" applyNumberFormat="1" applyBorder="1" applyAlignment="1">
      <alignment vertical="center"/>
    </xf>
    <xf numFmtId="0" fontId="0" fillId="0" borderId="2" xfId="0" applyBorder="1" applyAlignment="1">
      <alignment horizontal="left" vertical="center"/>
    </xf>
    <xf numFmtId="15" fontId="0" fillId="0" borderId="10" xfId="0" applyNumberFormat="1" applyBorder="1" applyAlignment="1">
      <alignment horizontal="left" vertical="center" wrapText="1"/>
    </xf>
    <xf numFmtId="0" fontId="13" fillId="0" borderId="7" xfId="0" applyFont="1" applyBorder="1" applyAlignment="1">
      <alignment horizontal="left" vertical="center" wrapText="1"/>
    </xf>
    <xf numFmtId="0" fontId="0" fillId="4" borderId="8" xfId="0" applyFill="1" applyBorder="1" applyAlignment="1">
      <alignment vertical="center" wrapText="1"/>
    </xf>
    <xf numFmtId="0" fontId="32" fillId="4" borderId="1" xfId="0" applyFont="1" applyFill="1" applyBorder="1" applyAlignment="1">
      <alignment horizontal="left" vertical="center" wrapText="1"/>
    </xf>
    <xf numFmtId="15" fontId="0" fillId="0" borderId="12" xfId="0" applyNumberFormat="1" applyBorder="1" applyAlignment="1">
      <alignment horizontal="left" vertical="center" wrapText="1"/>
    </xf>
    <xf numFmtId="0" fontId="0" fillId="0" borderId="9" xfId="0" applyBorder="1" applyAlignment="1">
      <alignment horizontal="left" vertical="center"/>
    </xf>
    <xf numFmtId="15" fontId="0" fillId="0" borderId="14" xfId="0" applyNumberFormat="1" applyBorder="1" applyAlignment="1">
      <alignment horizontal="left" vertical="center" wrapText="1"/>
    </xf>
    <xf numFmtId="0" fontId="0" fillId="0" borderId="9" xfId="0" applyBorder="1" applyAlignment="1">
      <alignment vertical="center"/>
    </xf>
    <xf numFmtId="0" fontId="0" fillId="0" borderId="15" xfId="0" applyBorder="1" applyAlignment="1">
      <alignment vertical="center" wrapText="1"/>
    </xf>
    <xf numFmtId="49" fontId="38" fillId="0" borderId="1" xfId="0" applyNumberFormat="1" applyFont="1" applyBorder="1" applyAlignment="1">
      <alignment horizontal="left" vertical="center"/>
    </xf>
    <xf numFmtId="0" fontId="32" fillId="4" borderId="1" xfId="0" applyFont="1" applyFill="1" applyBorder="1" applyAlignment="1">
      <alignment vertical="center" wrapText="1"/>
    </xf>
    <xf numFmtId="0" fontId="0" fillId="4" borderId="5" xfId="0" applyFill="1" applyBorder="1" applyAlignment="1">
      <alignment horizontal="left" vertical="center"/>
    </xf>
    <xf numFmtId="49" fontId="0" fillId="0" borderId="4" xfId="0" applyNumberFormat="1" applyBorder="1" applyAlignment="1">
      <alignment vertical="center"/>
    </xf>
    <xf numFmtId="0" fontId="0" fillId="4" borderId="1" xfId="0" applyFill="1" applyBorder="1" applyAlignment="1">
      <alignment horizontal="left" vertical="center"/>
    </xf>
    <xf numFmtId="0" fontId="0" fillId="0" borderId="5" xfId="0" applyBorder="1" applyAlignment="1">
      <alignment horizontal="left" vertical="center"/>
    </xf>
    <xf numFmtId="0" fontId="0" fillId="3" borderId="1" xfId="0" applyFill="1" applyBorder="1" applyAlignment="1">
      <alignment horizontal="left" vertical="center"/>
    </xf>
    <xf numFmtId="0" fontId="0" fillId="3" borderId="9" xfId="0" applyFill="1" applyBorder="1" applyAlignment="1">
      <alignment horizontal="left" vertical="center"/>
    </xf>
    <xf numFmtId="49" fontId="0" fillId="0" borderId="1" xfId="0" applyNumberFormat="1" applyBorder="1" applyAlignment="1">
      <alignment horizontal="left" vertical="center"/>
    </xf>
    <xf numFmtId="0" fontId="11" fillId="5" borderId="5" xfId="0" applyFont="1" applyFill="1" applyBorder="1" applyAlignment="1">
      <alignment vertical="center" wrapText="1"/>
    </xf>
    <xf numFmtId="0" fontId="11" fillId="5" borderId="1" xfId="0" applyFont="1" applyFill="1" applyBorder="1" applyAlignment="1">
      <alignment horizontal="left" vertical="center" wrapText="1"/>
    </xf>
    <xf numFmtId="0" fontId="11" fillId="5" borderId="1" xfId="0" applyFont="1" applyFill="1" applyBorder="1" applyAlignment="1">
      <alignment horizontal="center" vertical="center" wrapText="1"/>
    </xf>
    <xf numFmtId="49" fontId="30" fillId="5" borderId="1" xfId="0" applyNumberFormat="1" applyFont="1" applyFill="1" applyBorder="1" applyAlignment="1">
      <alignment horizontal="center" vertical="center" wrapText="1"/>
    </xf>
    <xf numFmtId="0" fontId="0" fillId="0" borderId="2" xfId="0" applyBorder="1"/>
    <xf numFmtId="49" fontId="0" fillId="4" borderId="1" xfId="0" applyNumberFormat="1" applyFill="1" applyBorder="1" applyAlignment="1">
      <alignment vertical="center"/>
    </xf>
    <xf numFmtId="15" fontId="0" fillId="0" borderId="9" xfId="0" applyNumberFormat="1" applyBorder="1" applyAlignment="1">
      <alignment horizontal="left" vertical="center" wrapText="1"/>
    </xf>
    <xf numFmtId="49" fontId="0" fillId="0" borderId="9" xfId="0" applyNumberFormat="1" applyBorder="1" applyAlignment="1">
      <alignment vertical="center"/>
    </xf>
    <xf numFmtId="0" fontId="0" fillId="0" borderId="9" xfId="0" applyBorder="1" applyAlignment="1">
      <alignment horizontal="left" vertical="center" wrapText="1"/>
    </xf>
    <xf numFmtId="0" fontId="0" fillId="4" borderId="9" xfId="0" applyFill="1" applyBorder="1" applyAlignment="1">
      <alignment horizontal="left" vertical="center"/>
    </xf>
    <xf numFmtId="0" fontId="0" fillId="4" borderId="9" xfId="0" applyFill="1" applyBorder="1" applyAlignment="1">
      <alignment vertical="center" wrapText="1"/>
    </xf>
    <xf numFmtId="0" fontId="0" fillId="3" borderId="1" xfId="0" applyFill="1" applyBorder="1" applyAlignment="1">
      <alignment horizontal="left" vertical="center" wrapText="1"/>
    </xf>
    <xf numFmtId="49" fontId="0" fillId="0" borderId="1" xfId="0" applyNumberFormat="1" applyBorder="1" applyAlignment="1">
      <alignment horizontal="left" vertical="center" wrapText="1"/>
    </xf>
    <xf numFmtId="0" fontId="0" fillId="3" borderId="9" xfId="0" applyFill="1" applyBorder="1" applyAlignment="1">
      <alignment vertical="center"/>
    </xf>
    <xf numFmtId="0" fontId="0" fillId="0" borderId="4" xfId="0" applyBorder="1" applyAlignment="1">
      <alignment horizontal="left"/>
    </xf>
    <xf numFmtId="0" fontId="0" fillId="0" borderId="0" xfId="0" applyAlignment="1">
      <alignment horizontal="left"/>
    </xf>
    <xf numFmtId="0" fontId="0" fillId="0" borderId="8" xfId="0" applyBorder="1" applyAlignment="1">
      <alignment horizontal="center" vertical="center" wrapText="1"/>
    </xf>
    <xf numFmtId="0" fontId="0" fillId="0" borderId="8" xfId="0" applyBorder="1" applyAlignment="1">
      <alignment horizontal="left" vertical="center"/>
    </xf>
    <xf numFmtId="0" fontId="0" fillId="4" borderId="1" xfId="0" applyFill="1" applyBorder="1" applyAlignment="1">
      <alignment horizontal="left" vertical="center" wrapText="1"/>
    </xf>
    <xf numFmtId="0" fontId="0" fillId="6" borderId="1" xfId="0" applyFill="1" applyBorder="1" applyAlignment="1">
      <alignment vertical="center" wrapText="1"/>
    </xf>
    <xf numFmtId="14" fontId="0" fillId="0" borderId="1" xfId="0" applyNumberFormat="1" applyBorder="1" applyAlignment="1">
      <alignment horizontal="left" vertical="center" wrapText="1"/>
    </xf>
    <xf numFmtId="0" fontId="30" fillId="6" borderId="1" xfId="0" applyFont="1" applyFill="1" applyBorder="1" applyAlignment="1">
      <alignment vertical="center" wrapText="1"/>
    </xf>
    <xf numFmtId="0" fontId="0" fillId="6" borderId="1" xfId="0" applyFill="1" applyBorder="1" applyAlignment="1">
      <alignment vertical="center"/>
    </xf>
    <xf numFmtId="14" fontId="0" fillId="0" borderId="9" xfId="0" applyNumberFormat="1" applyBorder="1" applyAlignment="1">
      <alignment horizontal="left" vertical="center"/>
    </xf>
    <xf numFmtId="0" fontId="0" fillId="0" borderId="13" xfId="0" applyBorder="1" applyAlignment="1">
      <alignment horizontal="left" vertical="center"/>
    </xf>
    <xf numFmtId="0" fontId="11" fillId="7" borderId="1" xfId="0" applyFont="1" applyFill="1" applyBorder="1" applyAlignment="1">
      <alignment horizontal="left" vertical="center" wrapText="1"/>
    </xf>
    <xf numFmtId="15" fontId="13" fillId="7" borderId="1" xfId="0" applyNumberFormat="1" applyFont="1" applyFill="1" applyBorder="1" applyAlignment="1">
      <alignment horizontal="left" vertical="center"/>
    </xf>
    <xf numFmtId="15" fontId="13" fillId="7" borderId="5" xfId="0" applyNumberFormat="1" applyFont="1" applyFill="1" applyBorder="1" applyAlignment="1">
      <alignment horizontal="left" vertical="center"/>
    </xf>
    <xf numFmtId="15" fontId="0" fillId="7" borderId="8" xfId="0" applyNumberFormat="1" applyFill="1" applyBorder="1" applyAlignment="1">
      <alignment horizontal="left" vertical="center"/>
    </xf>
    <xf numFmtId="15" fontId="0" fillId="7" borderId="1" xfId="0" applyNumberFormat="1" applyFill="1" applyBorder="1" applyAlignment="1">
      <alignment horizontal="left" vertical="center"/>
    </xf>
    <xf numFmtId="15" fontId="0" fillId="7" borderId="9" xfId="0" applyNumberFormat="1" applyFill="1" applyBorder="1" applyAlignment="1">
      <alignment horizontal="left" vertical="center"/>
    </xf>
    <xf numFmtId="15" fontId="0" fillId="7" borderId="15" xfId="0" applyNumberFormat="1" applyFill="1" applyBorder="1" applyAlignment="1">
      <alignment horizontal="left" vertical="center" wrapText="1"/>
    </xf>
    <xf numFmtId="0" fontId="0" fillId="7" borderId="1" xfId="0" applyFill="1" applyBorder="1" applyAlignment="1">
      <alignment horizontal="left" vertical="center"/>
    </xf>
    <xf numFmtId="0" fontId="0" fillId="7" borderId="9" xfId="0" applyFill="1" applyBorder="1" applyAlignment="1">
      <alignment horizontal="left" vertical="center"/>
    </xf>
    <xf numFmtId="15" fontId="0" fillId="7" borderId="2" xfId="0" applyNumberFormat="1" applyFill="1" applyBorder="1" applyAlignment="1">
      <alignment horizontal="left" vertical="center"/>
    </xf>
    <xf numFmtId="15" fontId="0" fillId="7" borderId="10" xfId="0" applyNumberFormat="1" applyFill="1" applyBorder="1" applyAlignment="1">
      <alignment horizontal="left" vertical="center"/>
    </xf>
    <xf numFmtId="0" fontId="0" fillId="7" borderId="0" xfId="0" applyFill="1" applyAlignment="1">
      <alignment horizontal="left" vertical="center"/>
    </xf>
    <xf numFmtId="0" fontId="0" fillId="6" borderId="9" xfId="0" applyFill="1" applyBorder="1" applyAlignment="1">
      <alignment vertical="center"/>
    </xf>
    <xf numFmtId="14" fontId="0" fillId="3" borderId="9" xfId="0" applyNumberFormat="1" applyFill="1" applyBorder="1" applyAlignment="1">
      <alignment horizontal="left" vertical="center" wrapText="1"/>
    </xf>
    <xf numFmtId="49" fontId="0" fillId="3" borderId="9" xfId="0" applyNumberFormat="1" applyFill="1" applyBorder="1" applyAlignment="1">
      <alignment vertical="center"/>
    </xf>
    <xf numFmtId="0" fontId="11" fillId="5" borderId="5" xfId="0" applyFont="1" applyFill="1" applyBorder="1" applyAlignment="1">
      <alignment horizontal="left" vertical="center" wrapText="1"/>
    </xf>
    <xf numFmtId="0" fontId="13" fillId="4" borderId="18" xfId="0" applyFont="1" applyFill="1" applyBorder="1" applyAlignment="1">
      <alignment horizontal="left" vertical="center"/>
    </xf>
    <xf numFmtId="0" fontId="28" fillId="4" borderId="5" xfId="0" applyFont="1" applyFill="1" applyBorder="1" applyAlignment="1">
      <alignment horizontal="left" vertical="center" wrapText="1"/>
    </xf>
    <xf numFmtId="0" fontId="0" fillId="4" borderId="7" xfId="0" applyFill="1" applyBorder="1" applyAlignment="1">
      <alignment horizontal="left" vertical="center"/>
    </xf>
    <xf numFmtId="0" fontId="0" fillId="0" borderId="9" xfId="0" applyBorder="1" applyAlignment="1">
      <alignment horizontal="center" vertical="center" wrapText="1"/>
    </xf>
    <xf numFmtId="14" fontId="0" fillId="0" borderId="9" xfId="0" applyNumberFormat="1" applyBorder="1" applyAlignment="1">
      <alignment horizontal="left" vertical="center" wrapText="1"/>
    </xf>
    <xf numFmtId="0" fontId="0" fillId="0" borderId="4" xfId="0" applyBorder="1" applyAlignment="1">
      <alignment horizontal="left" vertical="center" wrapText="1"/>
    </xf>
    <xf numFmtId="14" fontId="0" fillId="4" borderId="1" xfId="0" applyNumberFormat="1" applyFill="1" applyBorder="1" applyAlignment="1">
      <alignment horizontal="left" vertical="center" wrapText="1"/>
    </xf>
    <xf numFmtId="15" fontId="0" fillId="4" borderId="1" xfId="0" applyNumberFormat="1" applyFill="1" applyBorder="1" applyAlignment="1">
      <alignment vertical="center" wrapText="1"/>
    </xf>
    <xf numFmtId="0" fontId="0" fillId="7" borderId="4" xfId="0" applyFill="1" applyBorder="1" applyAlignment="1">
      <alignment horizontal="left" vertical="center"/>
    </xf>
    <xf numFmtId="0" fontId="0" fillId="0" borderId="4" xfId="0" applyBorder="1" applyAlignment="1">
      <alignment horizontal="left" vertical="center"/>
    </xf>
    <xf numFmtId="14" fontId="0" fillId="4" borderId="9" xfId="0" applyNumberFormat="1" applyFill="1" applyBorder="1" applyAlignment="1">
      <alignment horizontal="left" vertical="center" wrapText="1"/>
    </xf>
    <xf numFmtId="15" fontId="0" fillId="4" borderId="9" xfId="0" applyNumberFormat="1" applyFill="1" applyBorder="1" applyAlignment="1">
      <alignment vertical="center" wrapText="1"/>
    </xf>
    <xf numFmtId="15" fontId="0" fillId="7" borderId="1" xfId="0" applyNumberFormat="1" applyFill="1" applyBorder="1" applyAlignment="1">
      <alignment horizontal="center" vertical="center"/>
    </xf>
    <xf numFmtId="0" fontId="0" fillId="8" borderId="1" xfId="0" applyFill="1" applyBorder="1" applyAlignment="1">
      <alignment horizontal="left" vertical="center"/>
    </xf>
    <xf numFmtId="0" fontId="0" fillId="4" borderId="9" xfId="0" applyFill="1" applyBorder="1" applyAlignment="1">
      <alignment vertical="center"/>
    </xf>
    <xf numFmtId="49" fontId="0" fillId="4" borderId="16" xfId="0" applyNumberFormat="1" applyFill="1" applyBorder="1" applyAlignment="1">
      <alignment vertical="center" wrapText="1"/>
    </xf>
    <xf numFmtId="0" fontId="0" fillId="4" borderId="16" xfId="0" applyFill="1" applyBorder="1" applyAlignment="1">
      <alignment vertical="center" wrapText="1"/>
    </xf>
    <xf numFmtId="0" fontId="41" fillId="9" borderId="19" xfId="14" applyFont="1" applyFill="1" applyBorder="1" applyAlignment="1">
      <alignment horizontal="center" vertical="center" wrapText="1"/>
    </xf>
    <xf numFmtId="0" fontId="41" fillId="10" borderId="19" xfId="14" applyFont="1" applyFill="1" applyBorder="1" applyAlignment="1">
      <alignment horizontal="center" vertical="center" wrapText="1"/>
    </xf>
    <xf numFmtId="0" fontId="41" fillId="11" borderId="20" xfId="14" applyFont="1" applyFill="1" applyBorder="1" applyAlignment="1">
      <alignment horizontal="center" vertical="center" wrapText="1"/>
    </xf>
    <xf numFmtId="0" fontId="41" fillId="11" borderId="16" xfId="14" applyFont="1" applyFill="1" applyBorder="1" applyAlignment="1">
      <alignment horizontal="center" vertical="center" wrapText="1"/>
    </xf>
    <xf numFmtId="0" fontId="41" fillId="13" borderId="23" xfId="14" applyFont="1" applyFill="1" applyBorder="1" applyAlignment="1">
      <alignment horizontal="center" vertical="center" wrapText="1"/>
    </xf>
    <xf numFmtId="0" fontId="41" fillId="13" borderId="19" xfId="14" applyFont="1" applyFill="1" applyBorder="1" applyAlignment="1">
      <alignment horizontal="center" vertical="center" wrapText="1"/>
    </xf>
    <xf numFmtId="0" fontId="41" fillId="14" borderId="23" xfId="14" applyFont="1" applyFill="1" applyBorder="1" applyAlignment="1">
      <alignment horizontal="center" vertical="center" wrapText="1"/>
    </xf>
    <xf numFmtId="0" fontId="41" fillId="14" borderId="19" xfId="14" applyFont="1" applyFill="1" applyBorder="1" applyAlignment="1">
      <alignment horizontal="center" vertical="center" wrapText="1"/>
    </xf>
    <xf numFmtId="0" fontId="22" fillId="0" borderId="4" xfId="14" applyAlignment="1">
      <alignment horizontal="center" vertical="center"/>
    </xf>
    <xf numFmtId="0" fontId="41" fillId="9" borderId="15" xfId="14" applyFont="1" applyFill="1" applyBorder="1" applyAlignment="1">
      <alignment horizontal="center" vertical="center" wrapText="1"/>
    </xf>
    <xf numFmtId="0" fontId="41" fillId="10" borderId="15" xfId="14" applyFont="1" applyFill="1" applyBorder="1" applyAlignment="1">
      <alignment horizontal="center" vertical="center" wrapText="1"/>
    </xf>
    <xf numFmtId="0" fontId="41" fillId="12" borderId="16" xfId="14" applyFont="1" applyFill="1" applyBorder="1" applyAlignment="1">
      <alignment horizontal="center" vertical="center" wrapText="1"/>
    </xf>
    <xf numFmtId="0" fontId="41" fillId="12" borderId="21" xfId="14" applyFont="1" applyFill="1" applyBorder="1" applyAlignment="1">
      <alignment horizontal="center" vertical="center" wrapText="1"/>
    </xf>
    <xf numFmtId="0" fontId="41" fillId="13" borderId="24" xfId="14" applyFont="1" applyFill="1" applyBorder="1" applyAlignment="1">
      <alignment horizontal="center" vertical="center" wrapText="1"/>
    </xf>
    <xf numFmtId="0" fontId="41" fillId="13" borderId="15" xfId="14" applyFont="1" applyFill="1" applyBorder="1" applyAlignment="1">
      <alignment horizontal="center" vertical="center" wrapText="1"/>
    </xf>
    <xf numFmtId="0" fontId="41" fillId="14" borderId="24" xfId="14" applyFont="1" applyFill="1" applyBorder="1" applyAlignment="1">
      <alignment horizontal="center" vertical="center" wrapText="1"/>
    </xf>
    <xf numFmtId="0" fontId="41" fillId="14" borderId="15" xfId="14" applyFont="1" applyFill="1" applyBorder="1" applyAlignment="1">
      <alignment horizontal="center" vertical="center" wrapText="1"/>
    </xf>
    <xf numFmtId="0" fontId="22" fillId="0" borderId="24" xfId="14" applyBorder="1" applyAlignment="1">
      <alignment horizontal="center" vertical="center"/>
    </xf>
    <xf numFmtId="167" fontId="22" fillId="0" borderId="4" xfId="14" applyNumberFormat="1" applyAlignment="1">
      <alignment horizontal="center" vertical="center"/>
    </xf>
    <xf numFmtId="20" fontId="22" fillId="0" borderId="4" xfId="14" applyNumberFormat="1" applyAlignment="1">
      <alignment horizontal="center" vertical="center" wrapText="1"/>
    </xf>
    <xf numFmtId="0" fontId="22" fillId="0" borderId="4" xfId="14" applyAlignment="1">
      <alignment horizontal="center" vertical="center" wrapText="1"/>
    </xf>
    <xf numFmtId="14" fontId="22" fillId="0" borderId="4" xfId="14" applyNumberFormat="1" applyAlignment="1">
      <alignment horizontal="center" vertical="center"/>
    </xf>
    <xf numFmtId="1" fontId="22" fillId="0" borderId="4" xfId="14" applyNumberFormat="1" applyAlignment="1">
      <alignment horizontal="center" vertical="center"/>
    </xf>
    <xf numFmtId="15" fontId="22" fillId="0" borderId="4" xfId="14" applyNumberFormat="1" applyAlignment="1">
      <alignment horizontal="center" vertical="center"/>
    </xf>
    <xf numFmtId="165" fontId="22" fillId="0" borderId="4" xfId="14" applyNumberFormat="1" applyAlignment="1">
      <alignment horizontal="center" vertical="center"/>
    </xf>
    <xf numFmtId="0" fontId="22" fillId="0" borderId="4" xfId="14" applyAlignment="1">
      <alignment horizontal="left" vertical="center" wrapText="1"/>
    </xf>
    <xf numFmtId="164" fontId="22" fillId="0" borderId="4" xfId="14" applyNumberFormat="1" applyAlignment="1">
      <alignment horizontal="center" vertical="center"/>
    </xf>
    <xf numFmtId="0" fontId="42" fillId="0" borderId="4" xfId="14" applyFont="1" applyAlignment="1">
      <alignment vertical="center"/>
    </xf>
    <xf numFmtId="0" fontId="22" fillId="3" borderId="4" xfId="14" applyFill="1" applyAlignment="1">
      <alignment horizontal="center" vertical="center"/>
    </xf>
    <xf numFmtId="0" fontId="10" fillId="0" borderId="4" xfId="14" applyFont="1"/>
    <xf numFmtId="0" fontId="22" fillId="0" borderId="4" xfId="14"/>
    <xf numFmtId="167" fontId="22" fillId="0" borderId="4" xfId="14" applyNumberFormat="1" applyAlignment="1">
      <alignment horizontal="center" vertical="center" wrapText="1"/>
    </xf>
    <xf numFmtId="0" fontId="42" fillId="0" borderId="4" xfId="14" applyFont="1"/>
    <xf numFmtId="0" fontId="41" fillId="11" borderId="20" xfId="14" applyFont="1" applyFill="1" applyBorder="1" applyAlignment="1">
      <alignment horizontal="center" vertical="center" wrapText="1"/>
    </xf>
    <xf numFmtId="0" fontId="41" fillId="11" borderId="16" xfId="14" applyFont="1" applyFill="1" applyBorder="1" applyAlignment="1">
      <alignment horizontal="center" vertical="center" wrapText="1"/>
    </xf>
    <xf numFmtId="0" fontId="41" fillId="12" borderId="21" xfId="14" applyFont="1" applyFill="1" applyBorder="1" applyAlignment="1">
      <alignment horizontal="center" vertical="center"/>
    </xf>
    <xf numFmtId="0" fontId="41" fillId="12" borderId="22" xfId="14" applyFont="1" applyFill="1" applyBorder="1" applyAlignment="1">
      <alignment horizontal="center" vertical="center"/>
    </xf>
    <xf numFmtId="0" fontId="41" fillId="12" borderId="20" xfId="14" applyFont="1" applyFill="1" applyBorder="1" applyAlignment="1">
      <alignment horizontal="center" vertical="center"/>
    </xf>
    <xf numFmtId="0" fontId="15" fillId="2" borderId="4" xfId="0" applyFont="1" applyFill="1" applyBorder="1" applyAlignment="1">
      <alignment horizontal="center" vertical="center" wrapText="1"/>
    </xf>
    <xf numFmtId="0" fontId="10" fillId="0" borderId="4" xfId="0" applyFont="1" applyBorder="1" applyAlignment="1">
      <alignment vertical="center"/>
    </xf>
    <xf numFmtId="0" fontId="16" fillId="0" borderId="4" xfId="0" applyFont="1" applyBorder="1" applyAlignment="1">
      <alignment vertical="center" wrapText="1"/>
    </xf>
    <xf numFmtId="0" fontId="0" fillId="0" borderId="4" xfId="0" applyBorder="1" applyAlignment="1">
      <alignment vertical="center"/>
    </xf>
    <xf numFmtId="15" fontId="0" fillId="7" borderId="9" xfId="0" applyNumberFormat="1" applyFill="1" applyBorder="1" applyAlignment="1">
      <alignment horizontal="center" vertical="center"/>
    </xf>
    <xf numFmtId="0" fontId="0" fillId="7" borderId="11" xfId="0" applyFill="1" applyBorder="1" applyAlignment="1">
      <alignment horizontal="center" vertical="center"/>
    </xf>
    <xf numFmtId="0" fontId="0" fillId="7" borderId="8" xfId="0" applyFill="1" applyBorder="1" applyAlignment="1">
      <alignment horizontal="center" vertical="center"/>
    </xf>
    <xf numFmtId="49" fontId="0" fillId="0" borderId="1" xfId="0" applyNumberFormat="1" applyBorder="1" applyAlignment="1">
      <alignment horizontal="left" vertical="center"/>
    </xf>
    <xf numFmtId="0" fontId="0" fillId="0" borderId="9" xfId="0" applyBorder="1" applyAlignment="1">
      <alignment horizontal="left" vertical="center"/>
    </xf>
    <xf numFmtId="0" fontId="0" fillId="0" borderId="11"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14" fontId="0" fillId="0" borderId="1" xfId="0" applyNumberFormat="1" applyBorder="1" applyAlignment="1">
      <alignment horizontal="left" vertical="center" wrapText="1"/>
    </xf>
    <xf numFmtId="0" fontId="0" fillId="0" borderId="1" xfId="0" applyBorder="1" applyAlignment="1">
      <alignment horizontal="center" vertical="center" wrapText="1"/>
    </xf>
    <xf numFmtId="15" fontId="0" fillId="7" borderId="1" xfId="0" applyNumberFormat="1" applyFill="1" applyBorder="1" applyAlignment="1">
      <alignment horizontal="left" vertical="center"/>
    </xf>
    <xf numFmtId="0" fontId="0" fillId="7" borderId="1" xfId="0" applyFill="1" applyBorder="1" applyAlignment="1">
      <alignment horizontal="left" vertical="center"/>
    </xf>
    <xf numFmtId="0" fontId="0" fillId="0" borderId="1" xfId="0" applyBorder="1" applyAlignment="1">
      <alignment horizontal="left" vertical="center"/>
    </xf>
    <xf numFmtId="15" fontId="0" fillId="7" borderId="1" xfId="0" applyNumberFormat="1" applyFill="1" applyBorder="1" applyAlignment="1">
      <alignment horizontal="center" vertical="center"/>
    </xf>
    <xf numFmtId="0" fontId="0" fillId="7" borderId="1" xfId="0" applyFill="1" applyBorder="1" applyAlignment="1">
      <alignment horizontal="center" vertical="center"/>
    </xf>
    <xf numFmtId="0" fontId="0" fillId="7" borderId="9" xfId="0" applyFill="1" applyBorder="1" applyAlignment="1">
      <alignment horizontal="center" vertical="center"/>
    </xf>
    <xf numFmtId="0" fontId="0" fillId="4" borderId="1" xfId="0" applyFill="1" applyBorder="1" applyAlignment="1">
      <alignment horizontal="left" vertical="center"/>
    </xf>
    <xf numFmtId="14" fontId="0" fillId="0" borderId="1" xfId="0" applyNumberFormat="1" applyBorder="1" applyAlignment="1">
      <alignment horizontal="left" vertical="center"/>
    </xf>
    <xf numFmtId="49" fontId="0" fillId="0" borderId="11" xfId="0" applyNumberFormat="1" applyBorder="1" applyAlignment="1">
      <alignment horizontal="left" vertical="center"/>
    </xf>
    <xf numFmtId="49" fontId="0" fillId="0" borderId="8" xfId="0" applyNumberFormat="1" applyBorder="1" applyAlignment="1">
      <alignment horizontal="left" vertical="center"/>
    </xf>
    <xf numFmtId="0" fontId="0" fillId="0" borderId="5" xfId="0" applyBorder="1" applyAlignment="1">
      <alignment horizontal="left" vertical="center"/>
    </xf>
    <xf numFmtId="0" fontId="0" fillId="0" borderId="1" xfId="0" applyBorder="1" applyAlignment="1">
      <alignment horizontal="left" vertical="center" wrapText="1"/>
    </xf>
    <xf numFmtId="0" fontId="39" fillId="0" borderId="1" xfId="0" applyFont="1" applyBorder="1" applyAlignment="1">
      <alignment horizontal="left" vertical="center" wrapText="1"/>
    </xf>
    <xf numFmtId="0" fontId="0" fillId="4" borderId="9" xfId="0" applyFill="1" applyBorder="1" applyAlignment="1">
      <alignment horizontal="left" vertical="center" wrapText="1"/>
    </xf>
    <xf numFmtId="0" fontId="0" fillId="4" borderId="11" xfId="0" applyFill="1" applyBorder="1" applyAlignment="1">
      <alignment horizontal="left" vertical="center" wrapText="1"/>
    </xf>
    <xf numFmtId="0" fontId="0" fillId="4" borderId="8" xfId="0" applyFill="1" applyBorder="1" applyAlignment="1">
      <alignment horizontal="left" vertical="center" wrapText="1"/>
    </xf>
    <xf numFmtId="14" fontId="0" fillId="0" borderId="9" xfId="0" applyNumberFormat="1" applyBorder="1" applyAlignment="1">
      <alignment horizontal="left" vertical="center" wrapText="1"/>
    </xf>
    <xf numFmtId="14" fontId="0" fillId="0" borderId="11" xfId="0" applyNumberFormat="1" applyBorder="1" applyAlignment="1">
      <alignment horizontal="left" vertical="center" wrapText="1"/>
    </xf>
    <xf numFmtId="14" fontId="0" fillId="0" borderId="8" xfId="0" applyNumberFormat="1" applyBorder="1" applyAlignment="1">
      <alignment horizontal="left" vertical="center" wrapText="1"/>
    </xf>
    <xf numFmtId="15" fontId="0" fillId="7" borderId="9" xfId="0" applyNumberFormat="1" applyFill="1" applyBorder="1" applyAlignment="1">
      <alignment horizontal="left" vertical="center"/>
    </xf>
    <xf numFmtId="15" fontId="0" fillId="7" borderId="11" xfId="0" applyNumberFormat="1" applyFill="1" applyBorder="1" applyAlignment="1">
      <alignment horizontal="left" vertical="center"/>
    </xf>
    <xf numFmtId="15" fontId="0" fillId="7" borderId="8" xfId="0" applyNumberFormat="1" applyFill="1" applyBorder="1" applyAlignment="1">
      <alignment horizontal="left" vertical="center"/>
    </xf>
    <xf numFmtId="0" fontId="0" fillId="4" borderId="9" xfId="0" applyFill="1" applyBorder="1" applyAlignment="1">
      <alignment horizontal="left" vertical="center"/>
    </xf>
    <xf numFmtId="15" fontId="0" fillId="0" borderId="1" xfId="0" applyNumberFormat="1" applyBorder="1" applyAlignment="1">
      <alignment horizontal="left" vertical="center" wrapText="1"/>
    </xf>
    <xf numFmtId="15" fontId="0" fillId="0" borderId="9" xfId="0" applyNumberFormat="1" applyBorder="1" applyAlignment="1">
      <alignment horizontal="left" vertical="center" wrapText="1"/>
    </xf>
    <xf numFmtId="49" fontId="0" fillId="0" borderId="9" xfId="0" applyNumberFormat="1" applyBorder="1" applyAlignment="1">
      <alignment horizontal="left" vertical="center"/>
    </xf>
    <xf numFmtId="0" fontId="0" fillId="0" borderId="5" xfId="0" applyBorder="1" applyAlignment="1">
      <alignment horizontal="center" vertical="center"/>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7" borderId="11" xfId="0" applyFill="1" applyBorder="1" applyAlignment="1">
      <alignment horizontal="left" vertical="center"/>
    </xf>
    <xf numFmtId="0" fontId="0" fillId="7" borderId="8" xfId="0" applyFill="1" applyBorder="1" applyAlignment="1">
      <alignment horizontal="left" vertical="center"/>
    </xf>
    <xf numFmtId="0" fontId="0" fillId="4" borderId="11" xfId="0" applyFill="1" applyBorder="1" applyAlignment="1">
      <alignment horizontal="left" vertical="center"/>
    </xf>
    <xf numFmtId="0" fontId="0" fillId="4" borderId="8" xfId="0" applyFill="1" applyBorder="1" applyAlignment="1">
      <alignment horizontal="left" vertical="center"/>
    </xf>
    <xf numFmtId="0" fontId="0" fillId="0" borderId="9" xfId="0" applyBorder="1" applyAlignment="1">
      <alignment horizontal="left" vertical="center" wrapText="1"/>
    </xf>
    <xf numFmtId="0" fontId="0" fillId="0" borderId="8" xfId="0" applyBorder="1" applyAlignment="1">
      <alignment horizontal="left" vertical="center" wrapText="1"/>
    </xf>
    <xf numFmtId="15" fontId="0" fillId="7" borderId="1" xfId="0" applyNumberFormat="1" applyFill="1" applyBorder="1" applyAlignment="1">
      <alignment horizontal="left" vertical="center" wrapText="1"/>
    </xf>
    <xf numFmtId="0" fontId="0" fillId="7" borderId="1" xfId="0" applyFill="1" applyBorder="1" applyAlignment="1">
      <alignment horizontal="left" vertical="center" wrapText="1"/>
    </xf>
    <xf numFmtId="0" fontId="0" fillId="0" borderId="7" xfId="0" applyBorder="1" applyAlignment="1">
      <alignment horizontal="left" vertical="center"/>
    </xf>
    <xf numFmtId="0" fontId="0" fillId="0" borderId="3" xfId="0" applyBorder="1" applyAlignment="1">
      <alignment horizontal="left" vertical="center"/>
    </xf>
    <xf numFmtId="0" fontId="0" fillId="0" borderId="13" xfId="0" applyBorder="1" applyAlignment="1">
      <alignment horizontal="left" vertical="center"/>
    </xf>
    <xf numFmtId="0" fontId="0" fillId="4" borderId="18" xfId="0" applyFill="1" applyBorder="1" applyAlignment="1">
      <alignment horizontal="left" vertical="center"/>
    </xf>
    <xf numFmtId="0" fontId="0" fillId="4" borderId="4" xfId="0" applyFill="1" applyBorder="1" applyAlignment="1">
      <alignment horizontal="left" vertical="center"/>
    </xf>
    <xf numFmtId="0" fontId="0" fillId="4" borderId="17" xfId="0" applyFill="1" applyBorder="1" applyAlignment="1">
      <alignment horizontal="left" vertical="center"/>
    </xf>
    <xf numFmtId="15" fontId="0" fillId="0" borderId="11" xfId="0" applyNumberFormat="1" applyBorder="1" applyAlignment="1">
      <alignment horizontal="left" vertical="center" wrapText="1"/>
    </xf>
    <xf numFmtId="15" fontId="0" fillId="0" borderId="8" xfId="0" applyNumberFormat="1" applyBorder="1" applyAlignment="1">
      <alignment horizontal="left" vertical="center" wrapText="1"/>
    </xf>
    <xf numFmtId="0" fontId="0" fillId="0" borderId="11" xfId="0" applyBorder="1" applyAlignment="1">
      <alignment horizontal="left" vertical="center" wrapText="1"/>
    </xf>
    <xf numFmtId="49" fontId="13" fillId="0" borderId="1" xfId="0" applyNumberFormat="1" applyFont="1" applyBorder="1" applyAlignment="1">
      <alignment horizontal="left" vertical="center"/>
    </xf>
    <xf numFmtId="15" fontId="13" fillId="0" borderId="10" xfId="0" applyNumberFormat="1" applyFont="1" applyBorder="1" applyAlignment="1">
      <alignment horizontal="left" vertical="center" wrapText="1"/>
    </xf>
    <xf numFmtId="15" fontId="13" fillId="0" borderId="14" xfId="0" applyNumberFormat="1" applyFont="1" applyBorder="1" applyAlignment="1">
      <alignment horizontal="left" vertical="center" wrapText="1"/>
    </xf>
    <xf numFmtId="15" fontId="13" fillId="0" borderId="12" xfId="0" applyNumberFormat="1"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8" xfId="0" applyFont="1" applyBorder="1" applyAlignment="1">
      <alignment horizontal="left" vertical="center" wrapText="1"/>
    </xf>
    <xf numFmtId="49" fontId="39" fillId="0" borderId="1" xfId="0" applyNumberFormat="1" applyFont="1" applyBorder="1" applyAlignment="1">
      <alignment horizontal="left" vertical="center"/>
    </xf>
    <xf numFmtId="0" fontId="32" fillId="4" borderId="9" xfId="0" applyFont="1" applyFill="1" applyBorder="1" applyAlignment="1">
      <alignment horizontal="left" vertical="center" wrapText="1"/>
    </xf>
    <xf numFmtId="0" fontId="32" fillId="4" borderId="11" xfId="0" applyFont="1" applyFill="1" applyBorder="1" applyAlignment="1">
      <alignment horizontal="left" vertical="center" wrapText="1"/>
    </xf>
    <xf numFmtId="15" fontId="28" fillId="7" borderId="9" xfId="0" applyNumberFormat="1" applyFont="1" applyFill="1" applyBorder="1" applyAlignment="1">
      <alignment horizontal="left" vertical="center" wrapText="1"/>
    </xf>
    <xf numFmtId="15" fontId="28" fillId="7" borderId="11" xfId="0" applyNumberFormat="1" applyFont="1" applyFill="1" applyBorder="1" applyAlignment="1">
      <alignment horizontal="left" vertical="center" wrapText="1"/>
    </xf>
    <xf numFmtId="0" fontId="28" fillId="4" borderId="7" xfId="0" applyFont="1" applyFill="1" applyBorder="1" applyAlignment="1">
      <alignment horizontal="left" vertical="center" wrapText="1"/>
    </xf>
    <xf numFmtId="0" fontId="28" fillId="4" borderId="13" xfId="0" applyFont="1" applyFill="1" applyBorder="1" applyAlignment="1">
      <alignment horizontal="left" vertical="center" wrapText="1"/>
    </xf>
    <xf numFmtId="49" fontId="0" fillId="0" borderId="9" xfId="0" applyNumberFormat="1" applyBorder="1" applyAlignment="1">
      <alignment horizontal="left" vertical="center" wrapText="1"/>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left" vertical="center" wrapText="1"/>
    </xf>
    <xf numFmtId="0" fontId="0" fillId="0" borderId="17" xfId="0" applyBorder="1" applyAlignment="1">
      <alignment horizontal="left" vertical="center" wrapText="1"/>
    </xf>
    <xf numFmtId="0" fontId="0" fillId="0" borderId="12" xfId="0" applyBorder="1" applyAlignment="1">
      <alignment horizontal="left" vertical="center" wrapText="1"/>
    </xf>
    <xf numFmtId="0" fontId="0" fillId="4" borderId="1" xfId="0" applyFill="1" applyBorder="1" applyAlignment="1">
      <alignment horizontal="center" vertical="center"/>
    </xf>
    <xf numFmtId="0" fontId="0" fillId="4" borderId="9" xfId="0" applyFill="1" applyBorder="1" applyAlignment="1">
      <alignment horizontal="center" vertical="center"/>
    </xf>
    <xf numFmtId="49" fontId="0" fillId="4" borderId="1" xfId="0" applyNumberFormat="1" applyFill="1" applyBorder="1" applyAlignment="1">
      <alignment horizontal="center" vertical="center"/>
    </xf>
    <xf numFmtId="49" fontId="0" fillId="4" borderId="9" xfId="0" applyNumberFormat="1" applyFill="1"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15" fontId="0" fillId="0" borderId="1" xfId="0" applyNumberFormat="1" applyBorder="1" applyAlignment="1">
      <alignment horizontal="center" vertical="center" wrapText="1"/>
    </xf>
    <xf numFmtId="0" fontId="31" fillId="4" borderId="1" xfId="0" applyFont="1" applyFill="1" applyBorder="1" applyAlignment="1">
      <alignment horizontal="center" vertical="center"/>
    </xf>
    <xf numFmtId="0" fontId="0" fillId="4" borderId="9" xfId="0" applyFill="1" applyBorder="1" applyAlignment="1">
      <alignment vertical="center"/>
    </xf>
    <xf numFmtId="0" fontId="0" fillId="4" borderId="11" xfId="0" applyFill="1" applyBorder="1" applyAlignment="1">
      <alignment vertical="center"/>
    </xf>
    <xf numFmtId="0" fontId="0" fillId="4" borderId="8" xfId="0" applyFill="1" applyBorder="1" applyAlignment="1">
      <alignment vertical="center"/>
    </xf>
    <xf numFmtId="15" fontId="0" fillId="0" borderId="9" xfId="0" applyNumberFormat="1" applyBorder="1" applyAlignment="1">
      <alignment horizontal="center" vertical="center" wrapText="1"/>
    </xf>
    <xf numFmtId="15" fontId="0" fillId="0" borderId="11" xfId="0" applyNumberFormat="1" applyBorder="1" applyAlignment="1">
      <alignment horizontal="center" vertical="center" wrapText="1"/>
    </xf>
    <xf numFmtId="15" fontId="0" fillId="0" borderId="8" xfId="0" applyNumberFormat="1" applyBorder="1" applyAlignment="1">
      <alignment horizontal="center" vertical="center" wrapText="1"/>
    </xf>
    <xf numFmtId="0" fontId="0" fillId="0" borderId="7" xfId="0" applyBorder="1" applyAlignment="1">
      <alignment vertical="center" wrapText="1"/>
    </xf>
    <xf numFmtId="0" fontId="0" fillId="0" borderId="3" xfId="0" applyBorder="1" applyAlignment="1">
      <alignment vertical="center" wrapText="1"/>
    </xf>
    <xf numFmtId="0" fontId="0" fillId="0" borderId="13" xfId="0" applyBorder="1" applyAlignment="1">
      <alignment vertical="center" wrapText="1"/>
    </xf>
    <xf numFmtId="14" fontId="0" fillId="4" borderId="11" xfId="0" applyNumberFormat="1" applyFill="1" applyBorder="1" applyAlignment="1">
      <alignment horizontal="center" vertical="center"/>
    </xf>
    <xf numFmtId="14" fontId="0" fillId="4" borderId="8" xfId="0" applyNumberFormat="1" applyFill="1" applyBorder="1" applyAlignment="1">
      <alignment horizontal="center" vertical="center"/>
    </xf>
    <xf numFmtId="0" fontId="0" fillId="4" borderId="11" xfId="0" applyFill="1" applyBorder="1" applyAlignment="1">
      <alignment horizontal="center"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14" fontId="0" fillId="0" borderId="9" xfId="0" applyNumberFormat="1" applyBorder="1" applyAlignment="1">
      <alignment horizontal="center" vertical="center"/>
    </xf>
    <xf numFmtId="14" fontId="0" fillId="0" borderId="11" xfId="0" applyNumberFormat="1" applyBorder="1" applyAlignment="1">
      <alignment horizontal="center" vertical="center"/>
    </xf>
    <xf numFmtId="14" fontId="0" fillId="0" borderId="8" xfId="0" applyNumberFormat="1" applyBorder="1" applyAlignment="1">
      <alignment horizontal="center" vertical="center"/>
    </xf>
    <xf numFmtId="0" fontId="15" fillId="2" borderId="4" xfId="0" applyFont="1" applyFill="1" applyBorder="1" applyAlignment="1">
      <alignment horizontal="center" vertical="top" wrapText="1"/>
    </xf>
    <xf numFmtId="0" fontId="10" fillId="0" borderId="4" xfId="0" applyFont="1" applyBorder="1"/>
    <xf numFmtId="0" fontId="16" fillId="0" borderId="4" xfId="0" applyFont="1" applyBorder="1" applyAlignment="1">
      <alignment vertical="top" wrapText="1"/>
    </xf>
    <xf numFmtId="0" fontId="0" fillId="0" borderId="4" xfId="0" applyBorder="1"/>
  </cellXfs>
  <cellStyles count="29">
    <cellStyle name="Hyperlink 2" xfId="3" xr:uid="{00000000-0005-0000-0000-000001000000}"/>
    <cellStyle name="Hyperlink 2 2" xfId="17" xr:uid="{00000000-0005-0000-0000-000002000000}"/>
    <cellStyle name="Hyperlink 2 2 3" xfId="5" xr:uid="{00000000-0005-0000-0000-000003000000}"/>
    <cellStyle name="Hyperlink 3" xfId="11" xr:uid="{00000000-0005-0000-0000-000004000000}"/>
    <cellStyle name="Hyperlink 4" xfId="24" xr:uid="{00000000-0005-0000-0000-000005000000}"/>
    <cellStyle name="Normal" xfId="0" builtinId="0"/>
    <cellStyle name="Normal 10" xfId="25" xr:uid="{00000000-0005-0000-0000-000007000000}"/>
    <cellStyle name="Normal 10 10" xfId="6" xr:uid="{00000000-0005-0000-0000-000008000000}"/>
    <cellStyle name="Normal 10 2" xfId="14" xr:uid="{00000000-0005-0000-0000-000009000000}"/>
    <cellStyle name="Normal 10 2 2 2" xfId="15" xr:uid="{00000000-0005-0000-0000-00000A000000}"/>
    <cellStyle name="Normal 10 3 14" xfId="26" xr:uid="{00000000-0005-0000-0000-00000B000000}"/>
    <cellStyle name="Normal 10 3_Reassesment Record gm jan 25 2" xfId="16" xr:uid="{00000000-0005-0000-0000-00000C000000}"/>
    <cellStyle name="Normal 11" xfId="28" xr:uid="{00000000-0005-0000-0000-00000D000000}"/>
    <cellStyle name="Normal 2" xfId="1" xr:uid="{00000000-0005-0000-0000-00000E000000}"/>
    <cellStyle name="Normal 2 11 3 2" xfId="12" xr:uid="{00000000-0005-0000-0000-00000F000000}"/>
    <cellStyle name="Normal 2 2" xfId="19" xr:uid="{00000000-0005-0000-0000-000010000000}"/>
    <cellStyle name="Normal 2 4 4" xfId="27" xr:uid="{00000000-0005-0000-0000-000011000000}"/>
    <cellStyle name="Normal 2 42" xfId="7" xr:uid="{00000000-0005-0000-0000-000012000000}"/>
    <cellStyle name="Normal 3" xfId="8" xr:uid="{00000000-0005-0000-0000-000013000000}"/>
    <cellStyle name="Normal 3 10 2" xfId="10" xr:uid="{00000000-0005-0000-0000-000014000000}"/>
    <cellStyle name="Normal 37 3" xfId="13" xr:uid="{00000000-0005-0000-0000-000015000000}"/>
    <cellStyle name="Normal 4" xfId="4" xr:uid="{00000000-0005-0000-0000-000016000000}"/>
    <cellStyle name="Normal 5" xfId="9" xr:uid="{00000000-0005-0000-0000-000017000000}"/>
    <cellStyle name="Normal 6" xfId="18" xr:uid="{00000000-0005-0000-0000-000018000000}"/>
    <cellStyle name="Normal 7" xfId="21" xr:uid="{00000000-0005-0000-0000-000019000000}"/>
    <cellStyle name="Normal 8" xfId="22" xr:uid="{00000000-0005-0000-0000-00001A000000}"/>
    <cellStyle name="Normal 9" xfId="23" xr:uid="{00000000-0005-0000-0000-00001B000000}"/>
    <cellStyle name="Percent 2" xfId="2" xr:uid="{00000000-0005-0000-0000-00001C000000}"/>
    <cellStyle name="Percent 3" xfId="20" xr:uid="{00000000-0005-0000-0000-00001D000000}"/>
  </cellStyles>
  <dxfs count="65">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numFmt numFmtId="168" formatCode="d\-mmm\-yy"/>
      <fill>
        <patternFill patternType="none">
          <fgColor indexed="64"/>
          <bgColor indexed="65"/>
        </patternFill>
      </fill>
      <alignment horizontal="center" vertical="center" textRotation="0" wrapText="0" indent="0" justifyLastLine="0" shrinkToFit="0" readingOrder="0"/>
    </dxf>
    <dxf>
      <numFmt numFmtId="1" formatCode="0"/>
      <fill>
        <patternFill patternType="none">
          <fgColor indexed="64"/>
          <bgColor indexed="65"/>
        </patternFill>
      </fill>
      <alignment horizontal="center" vertical="center" textRotation="0" wrapText="0" indent="0" justifyLastLine="0" shrinkToFit="0" readingOrder="0"/>
    </dxf>
    <dxf>
      <numFmt numFmtId="167" formatCode="[$-409]d\-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numFmt numFmtId="167" formatCode="[$-409]d\-mmm\-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409]d\-mmm\-yy;@"/>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indexed="64"/>
        </bottom>
      </border>
    </dxf>
    <dxf>
      <font>
        <strike val="0"/>
        <outline val="0"/>
        <shadow val="0"/>
        <u val="none"/>
        <vertAlign val="baseline"/>
        <sz val="10"/>
        <color auto="1"/>
        <name val="Arial"/>
        <scheme val="none"/>
      </font>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D9D9D9"/>
          <bgColor rgb="FFD9D9D9"/>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D9D9D9"/>
          <bgColor rgb="FFD9D9D9"/>
        </patternFill>
      </fill>
    </dxf>
  </dxfs>
  <tableStyles count="8" defaultTableStyle="TableStyleMedium2" defaultPivotStyle="PivotStyleLight16">
    <tableStyle name="RC-18-style" pivot="0" count="3" xr9:uid="{00000000-0011-0000-FFFF-FFFF00000000}">
      <tableStyleElement type="headerRow" dxfId="64"/>
      <tableStyleElement type="firstRowStripe" dxfId="63"/>
      <tableStyleElement type="secondRowStripe" dxfId="62"/>
    </tableStyle>
    <tableStyle name="RC-18 Stefan Training RC-style" pivot="0" count="3" xr9:uid="{00000000-0011-0000-FFFF-FFFF01000000}">
      <tableStyleElement type="headerRow" dxfId="61"/>
      <tableStyleElement type="firstRowStripe" dxfId="60"/>
      <tableStyleElement type="secondRowStripe" dxfId="59"/>
    </tableStyle>
    <tableStyle name="RC-18 KyleTraining RC-style" pivot="0" count="3" xr9:uid="{00000000-0011-0000-FFFF-FFFF02000000}">
      <tableStyleElement type="headerRow" dxfId="58"/>
      <tableStyleElement type="firstRowStripe" dxfId="57"/>
      <tableStyleElement type="secondRowStripe" dxfId="56"/>
    </tableStyle>
    <tableStyle name=" RC-18 Jenn Training RC-style" pivot="0" count="3" xr9:uid="{00000000-0011-0000-FFFF-FFFF03000000}">
      <tableStyleElement type="headerRow" dxfId="55"/>
      <tableStyleElement type="firstRowStripe" dxfId="54"/>
      <tableStyleElement type="secondRowStripe" dxfId="53"/>
    </tableStyle>
    <tableStyle name=" RC-18 AshleyTraining RC-style" pivot="0" count="3" xr9:uid="{00000000-0011-0000-FFFF-FFFF04000000}">
      <tableStyleElement type="headerRow" dxfId="52"/>
      <tableStyleElement type="firstRowStripe" dxfId="51"/>
      <tableStyleElement type="secondRowStripe" dxfId="50"/>
    </tableStyle>
    <tableStyle name=" RC-18 Siva Training RC-style" pivot="0" count="3" xr9:uid="{00000000-0011-0000-FFFF-FFFF05000000}">
      <tableStyleElement type="headerRow" dxfId="49"/>
      <tableStyleElement type="firstRowStripe" dxfId="48"/>
      <tableStyleElement type="secondRowStripe" dxfId="47"/>
    </tableStyle>
    <tableStyle name=" RC-18 Troy Training RC-style" pivot="0" count="3" xr9:uid="{00000000-0011-0000-FFFF-FFFF06000000}">
      <tableStyleElement type="headerRow" dxfId="46"/>
      <tableStyleElement type="firstRowStripe" dxfId="45"/>
      <tableStyleElement type="secondRowStripe" dxfId="44"/>
    </tableStyle>
    <tableStyle name="RC-25-style" pivot="0" count="3" xr9:uid="{00000000-0011-0000-FFFF-FFFF07000000}">
      <tableStyleElement type="headerRow" dxfId="43"/>
      <tableStyleElement type="firstRowStripe" dxfId="42"/>
      <tableStyleElement type="secondRowStripe" dxfId="41"/>
    </tableStyle>
  </tableStyles>
  <colors>
    <mruColors>
      <color rgb="FF99CCFF"/>
      <color rgb="FFFF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D:\haacp\QA-FS-FOR-33%20Hold%20Log%202022.xlsx" TargetMode="External"/><Relationship Id="rId1" Type="http://schemas.openxmlformats.org/officeDocument/2006/relationships/externalLinkPath" Target="file:///D:\haacp\QA-FS-FOR-33%20Hold%20Log%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ld Log"/>
      <sheetName val="Graphs"/>
      <sheetName val="Hold Form"/>
      <sheetName val="Revision log "/>
      <sheetName val="Product List"/>
      <sheetName val="Chart1"/>
      <sheetName val="Sheet1"/>
    </sheetNames>
    <sheetDataSet>
      <sheetData sheetId="0" refreshError="1"/>
      <sheetData sheetId="1" refreshError="1"/>
      <sheetData sheetId="2" refreshError="1"/>
      <sheetData sheetId="3" refreshError="1"/>
      <sheetData sheetId="4">
        <row r="1">
          <cell r="A1" t="str">
            <v>Product Code</v>
          </cell>
          <cell r="B1" t="str">
            <v>Product Description</v>
          </cell>
        </row>
        <row r="2">
          <cell r="A2" t="str">
            <v>Equipment</v>
          </cell>
          <cell r="B2" t="str">
            <v>Type Equipment Name here</v>
          </cell>
        </row>
        <row r="3">
          <cell r="A3">
            <v>117548</v>
          </cell>
          <cell r="B3" t="str">
            <v>Apple Strudel Fuit Bites (ZTF) (0.81oz)</v>
          </cell>
        </row>
        <row r="4">
          <cell r="A4">
            <v>117549</v>
          </cell>
          <cell r="B4" t="str">
            <v>Strawberry Cream Cheese Fruit Bites (ZTF) (0.81oz)</v>
          </cell>
        </row>
        <row r="5">
          <cell r="A5">
            <v>117550</v>
          </cell>
          <cell r="B5" t="str">
            <v>Cherry Strudel Fruit Bite (ZTF) (0.81oz)</v>
          </cell>
        </row>
        <row r="6">
          <cell r="A6">
            <v>117551</v>
          </cell>
          <cell r="B6" t="str">
            <v>Lemon Strudel Fruit Bite (ZTF) (0.81oz)</v>
          </cell>
        </row>
        <row r="7">
          <cell r="A7">
            <v>117560</v>
          </cell>
          <cell r="B7" t="str">
            <v>Apple Turnovers (ZTF) (3.3oz)</v>
          </cell>
        </row>
        <row r="8">
          <cell r="A8">
            <v>117561</v>
          </cell>
          <cell r="B8" t="str">
            <v>Cherry Turnovers (ZTF) (3.3oz)</v>
          </cell>
        </row>
        <row r="9">
          <cell r="A9">
            <v>118340</v>
          </cell>
          <cell r="B9" t="str">
            <v>Luxury Apple Turnover (4.44oz)</v>
          </cell>
        </row>
        <row r="10">
          <cell r="A10">
            <v>118349</v>
          </cell>
          <cell r="B10" t="str">
            <v>Luxury Cherry Turnover (4.44oz)</v>
          </cell>
        </row>
        <row r="11">
          <cell r="A11">
            <v>129167</v>
          </cell>
          <cell r="B11" t="str">
            <v>BFG Cherry Strudel Fruit Bite (0.81oz)</v>
          </cell>
        </row>
        <row r="12">
          <cell r="A12">
            <v>129168</v>
          </cell>
          <cell r="B12" t="str">
            <v>BFG Strawberry Cream Cheese Fruit Bite (0.81oz)</v>
          </cell>
        </row>
        <row r="13">
          <cell r="A13">
            <v>129169</v>
          </cell>
          <cell r="B13" t="str">
            <v>BFG Lemon Fruit Bite (0.81oz)</v>
          </cell>
        </row>
        <row r="14">
          <cell r="A14">
            <v>129170</v>
          </cell>
          <cell r="B14" t="str">
            <v>BFG Apple Fruit Bite (0.81oz)</v>
          </cell>
        </row>
        <row r="15">
          <cell r="A15">
            <v>129447</v>
          </cell>
          <cell r="B15" t="str">
            <v>Cinnabon Cinnamon Bite US (0.53oz)</v>
          </cell>
        </row>
        <row r="16">
          <cell r="A16">
            <v>498074</v>
          </cell>
          <cell r="B16" t="str">
            <v>Apple Turnover (No Sugar Topping) (MB)</v>
          </cell>
        </row>
        <row r="17">
          <cell r="A17">
            <v>500706</v>
          </cell>
          <cell r="B17" t="str">
            <v>CHOC &amp; RASP ALL BUTTER CROISSANT</v>
          </cell>
        </row>
        <row r="18">
          <cell r="A18">
            <v>118122</v>
          </cell>
          <cell r="B18" t="str">
            <v>Tenderflake Patty Shells</v>
          </cell>
        </row>
        <row r="19">
          <cell r="A19">
            <v>117535</v>
          </cell>
          <cell r="B19" t="str">
            <v>Bagel Croissant (3.5oz)</v>
          </cell>
        </row>
        <row r="20">
          <cell r="A20">
            <v>117538</v>
          </cell>
          <cell r="B20" t="str">
            <v>Luxury Butter Croissant (US Only) (2.75oz)</v>
          </cell>
        </row>
        <row r="21">
          <cell r="A21">
            <v>117539</v>
          </cell>
          <cell r="B21" t="str">
            <v>All Butter Croissant (Metro) (2.25oz)</v>
          </cell>
        </row>
        <row r="22">
          <cell r="A22">
            <v>117541</v>
          </cell>
          <cell r="B22" t="str">
            <v>Croissant 60/40 (US Only) (2.75oz)</v>
          </cell>
        </row>
        <row r="23">
          <cell r="A23">
            <v>117543</v>
          </cell>
          <cell r="B23" t="str">
            <v>ZTF Croissant Margarine (2.25oz)</v>
          </cell>
        </row>
        <row r="24">
          <cell r="A24">
            <v>117544</v>
          </cell>
          <cell r="B24" t="str">
            <v>Straight Mini Croissant (1oz)</v>
          </cell>
        </row>
        <row r="25">
          <cell r="A25">
            <v>117545</v>
          </cell>
          <cell r="B25" t="str">
            <v>All Butter Croissant (US Only) (2.25oz)</v>
          </cell>
        </row>
        <row r="26">
          <cell r="A26">
            <v>117546</v>
          </cell>
          <cell r="B26" t="str">
            <v>Butter Flavour Margarine Croissant (2.25oz)</v>
          </cell>
        </row>
        <row r="27">
          <cell r="A27">
            <v>117904</v>
          </cell>
          <cell r="B27" t="str">
            <v>Donut Croissant (US) (MB) (1.75oz)</v>
          </cell>
        </row>
        <row r="28">
          <cell r="A28">
            <v>117905</v>
          </cell>
          <cell r="B28" t="str">
            <v>Donut Croissant (1.75oz)</v>
          </cell>
        </row>
        <row r="29">
          <cell r="A29">
            <v>117906</v>
          </cell>
          <cell r="B29" t="str">
            <v>Mini Margarine Croissant (1.25oz)</v>
          </cell>
        </row>
        <row r="30">
          <cell r="A30">
            <v>117907</v>
          </cell>
          <cell r="B30" t="str">
            <v>Chocolate Croissant (3.5oz)</v>
          </cell>
        </row>
        <row r="31">
          <cell r="A31">
            <v>118338</v>
          </cell>
          <cell r="B31" t="str">
            <v>Straight Mini All Butter Croissant (US) (1.0oz)</v>
          </cell>
        </row>
        <row r="32">
          <cell r="A32">
            <v>129393</v>
          </cell>
          <cell r="B32" t="str">
            <v>Croissant 60/40 Blend (CAN) (2.75oz)</v>
          </cell>
        </row>
        <row r="33">
          <cell r="A33">
            <v>500632</v>
          </cell>
          <cell r="B33" t="str">
            <v>ALL BUTTER CROISSANT 2.75OZ</v>
          </cell>
        </row>
        <row r="34">
          <cell r="A34">
            <v>500635</v>
          </cell>
          <cell r="B34" t="str">
            <v>ALL BUTTER MINI CROISSANT 1.25OZ</v>
          </cell>
        </row>
        <row r="35">
          <cell r="A35">
            <v>118124</v>
          </cell>
          <cell r="B35" t="str">
            <v>Tenderflake Puff Pastry</v>
          </cell>
        </row>
        <row r="36">
          <cell r="A36">
            <v>117880</v>
          </cell>
          <cell r="B36" t="str">
            <v>Compliments Deep Dish Lard</v>
          </cell>
        </row>
        <row r="37">
          <cell r="A37">
            <v>117881</v>
          </cell>
          <cell r="B37" t="str">
            <v>Compliments Regular Lard</v>
          </cell>
        </row>
        <row r="38">
          <cell r="A38">
            <v>118103</v>
          </cell>
          <cell r="B38" t="str">
            <v>Tenderflake Regular Lard</v>
          </cell>
        </row>
        <row r="39">
          <cell r="A39">
            <v>118104</v>
          </cell>
          <cell r="B39" t="str">
            <v>Tenderflake Deep Dish Lard</v>
          </cell>
        </row>
        <row r="40">
          <cell r="A40">
            <v>118123</v>
          </cell>
          <cell r="B40" t="str">
            <v>Tenderflake Deep Dish Vegetable</v>
          </cell>
        </row>
        <row r="41">
          <cell r="A41">
            <v>129069</v>
          </cell>
          <cell r="B41" t="str">
            <v>Metro Deep Dish Lard (9")</v>
          </cell>
        </row>
        <row r="42">
          <cell r="A42">
            <v>129070</v>
          </cell>
          <cell r="B42" t="str">
            <v>Metro Regular Lard (9")</v>
          </cell>
        </row>
        <row r="43">
          <cell r="A43">
            <v>117927</v>
          </cell>
          <cell r="B43" t="str">
            <v>Plain Scone (2.0.oz)</v>
          </cell>
        </row>
        <row r="44">
          <cell r="A44">
            <v>117928</v>
          </cell>
          <cell r="B44" t="str">
            <v>Raisin Scone (2.0oz)</v>
          </cell>
        </row>
        <row r="45">
          <cell r="A45">
            <v>117929</v>
          </cell>
          <cell r="B45" t="str">
            <v>Blueberry Scone (2.0oz)</v>
          </cell>
        </row>
        <row r="46">
          <cell r="A46">
            <v>117930</v>
          </cell>
          <cell r="B46" t="str">
            <v>Apple Cinnamon Scone (2.5oz)</v>
          </cell>
        </row>
        <row r="47">
          <cell r="A47">
            <v>117931</v>
          </cell>
          <cell r="B47" t="str">
            <v>White Chocolate Cranberry Scone (2.5oz)</v>
          </cell>
        </row>
        <row r="48">
          <cell r="A48">
            <v>117932</v>
          </cell>
          <cell r="B48" t="str">
            <v>Cinnamon Chip Scones (2.0oz)</v>
          </cell>
        </row>
        <row r="49">
          <cell r="A49">
            <v>118048</v>
          </cell>
          <cell r="B49" t="str">
            <v>TDL Homestyle Biscuit (Dubai&amp;Qatar) (2.5oz)</v>
          </cell>
        </row>
        <row r="50">
          <cell r="A50">
            <v>118125</v>
          </cell>
          <cell r="B50" t="str">
            <v>TDL Homestyle Biscuit (2.5oz)</v>
          </cell>
        </row>
        <row r="51">
          <cell r="A51">
            <v>118253</v>
          </cell>
          <cell r="B51" t="str">
            <v>Baker's Source Blueberry Scone (2.0oz)</v>
          </cell>
        </row>
        <row r="52">
          <cell r="A52">
            <v>118254</v>
          </cell>
          <cell r="B52" t="str">
            <v>Baker's Source Cinnamon Chip Scone (2.0oz)</v>
          </cell>
        </row>
        <row r="53">
          <cell r="A53">
            <v>118255</v>
          </cell>
          <cell r="B53" t="str">
            <v>Baker's Source Plain Scone (2.0oz)</v>
          </cell>
        </row>
        <row r="54">
          <cell r="A54">
            <v>118256</v>
          </cell>
          <cell r="B54" t="str">
            <v>Baker's Source Raisin Scone (2.0oz)</v>
          </cell>
        </row>
        <row r="55">
          <cell r="A55">
            <v>118260</v>
          </cell>
          <cell r="B55" t="str">
            <v>Baker's Source Round Breakfast Biscuit (2.5oz)</v>
          </cell>
        </row>
        <row r="56">
          <cell r="A56">
            <v>118341</v>
          </cell>
          <cell r="B56" t="str">
            <v>TDL Raisin Tea Biscuit (2.8oz)</v>
          </cell>
        </row>
        <row r="57">
          <cell r="A57">
            <v>118352</v>
          </cell>
          <cell r="B57" t="str">
            <v>TDL Cheese Tea Biscuit (2.8oz)</v>
          </cell>
        </row>
        <row r="58">
          <cell r="A58">
            <v>118480</v>
          </cell>
          <cell r="B58" t="str">
            <v>Round Breakfast Biscuit (2.5oz)</v>
          </cell>
        </row>
        <row r="59">
          <cell r="A59">
            <v>129781</v>
          </cell>
          <cell r="B59" t="str">
            <v>TDL Homestyle Biscuit (Mexico) (2.5oz)</v>
          </cell>
        </row>
        <row r="60">
          <cell r="A60">
            <v>500724</v>
          </cell>
          <cell r="B60" t="str">
            <v>TDL WHITE CHOC CRANBERRY SCONE</v>
          </cell>
        </row>
        <row r="61">
          <cell r="A61">
            <v>501396</v>
          </cell>
          <cell r="B61" t="str">
            <v xml:space="preserve">ALL BUTTER CHOCOLATINE CROISSANT </v>
          </cell>
        </row>
        <row r="62">
          <cell r="A62">
            <v>501450</v>
          </cell>
          <cell r="B62" t="str">
            <v>TDL TRIPLE BERRY SCONE</v>
          </cell>
        </row>
        <row r="63">
          <cell r="A63">
            <v>501479</v>
          </cell>
          <cell r="B63" t="str">
            <v>TDL Vegan Biscuit (2.5oz)</v>
          </cell>
        </row>
        <row r="64">
          <cell r="A64">
            <v>20003042</v>
          </cell>
          <cell r="B64" t="str">
            <v>SHPR ECT44 15.63X13X6.5</v>
          </cell>
        </row>
        <row r="65">
          <cell r="A65">
            <v>20000160</v>
          </cell>
          <cell r="B65" t="str">
            <v>SHIPPER 19 3/8 X 11 1/2 X 12 1/4</v>
          </cell>
        </row>
        <row r="66">
          <cell r="A66">
            <v>10062451</v>
          </cell>
          <cell r="B66" t="str">
            <v>20C DEEP TRAY (82070)</v>
          </cell>
        </row>
        <row r="67">
          <cell r="A67">
            <v>10060523</v>
          </cell>
          <cell r="B67" t="str">
            <v>TRAYS-1.25OZ 40C (82040)</v>
          </cell>
        </row>
        <row r="68">
          <cell r="A68">
            <v>20004763</v>
          </cell>
          <cell r="B68" t="str">
            <v>RED SHEETING FILM 26X0.001</v>
          </cell>
        </row>
        <row r="69">
          <cell r="A69">
            <v>20002267</v>
          </cell>
          <cell r="B69" t="str">
            <v>BAG-U PLYBAG4549H</v>
          </cell>
        </row>
        <row r="70">
          <cell r="A70">
            <v>20021807</v>
          </cell>
          <cell r="B70" t="str">
            <v>4up - Kroger Croissants Label - 8.25 x 9.625"</v>
          </cell>
        </row>
        <row r="71">
          <cell r="A71">
            <v>20021808</v>
          </cell>
          <cell r="B71" t="str">
            <v>6up - Kroger Croissants Label - 8.25 x 14.25"</v>
          </cell>
        </row>
        <row r="72">
          <cell r="A72">
            <v>10060454</v>
          </cell>
          <cell r="B72" t="str">
            <v>PAPER BRD TP4 12.75X15.25</v>
          </cell>
        </row>
        <row r="73">
          <cell r="A73">
            <v>10060519</v>
          </cell>
          <cell r="B73" t="str">
            <v>V00287 TUFFLEX 48MMX914M HM195 HOTMLT CST TP CLR@6</v>
          </cell>
        </row>
        <row r="74">
          <cell r="A74">
            <v>20021689</v>
          </cell>
          <cell r="B74" t="str">
            <v>PAPR-PAR 21.125IN ECOBAKE 30FT ROLL</v>
          </cell>
        </row>
        <row r="75">
          <cell r="A75">
            <v>20014916</v>
          </cell>
          <cell r="B75" t="str">
            <v>SHPR 19 1/4 X 12 5/8 X 7 40C</v>
          </cell>
        </row>
        <row r="76">
          <cell r="A76">
            <v>20007960</v>
          </cell>
          <cell r="B76" t="str">
            <v>DIRECT THERMAL LABEL BLK 3.5 X 11.5</v>
          </cell>
        </row>
        <row r="77">
          <cell r="A77">
            <v>20014911</v>
          </cell>
          <cell r="B77" t="str">
            <v>TRY-LUXURY TURNOVER TRAY</v>
          </cell>
        </row>
        <row r="78">
          <cell r="A78">
            <v>20003145</v>
          </cell>
          <cell r="B78" t="str">
            <v>SHPR CROISSANT 12.375X11.125X7 ECT 44</v>
          </cell>
        </row>
        <row r="79">
          <cell r="A79">
            <v>20003143</v>
          </cell>
          <cell r="B79" t="str">
            <v>SHPR TF PUFF PASTRY ECT 40</v>
          </cell>
        </row>
        <row r="80">
          <cell r="A80">
            <v>20021727</v>
          </cell>
          <cell r="B80" t="str">
            <v>STRETCH WRAP 51GA 20IN x 8000FT</v>
          </cell>
        </row>
        <row r="81">
          <cell r="A81">
            <v>20004737</v>
          </cell>
          <cell r="B81" t="str">
            <v>PAPR-PAR 25LB SILICO BAKE ROLL</v>
          </cell>
        </row>
        <row r="82">
          <cell r="A82">
            <v>20020266</v>
          </cell>
          <cell r="B82" t="str">
            <v>CARTON AUTOFILL TF DEEP DISH V2</v>
          </cell>
        </row>
        <row r="83">
          <cell r="A83">
            <v>20002265</v>
          </cell>
          <cell r="B83" t="str">
            <v>BAG-U PLYBAG4568H</v>
          </cell>
        </row>
        <row r="84">
          <cell r="A84">
            <v>20003043</v>
          </cell>
          <cell r="B84" t="str">
            <v>SHPR CROISSANT ECT44C</v>
          </cell>
        </row>
        <row r="85">
          <cell r="A85">
            <v>20021236</v>
          </cell>
          <cell r="B85" t="str">
            <v>SHPR SYSCO BKRSRC SCONE 16 X 13.375 X 7.25</v>
          </cell>
        </row>
        <row r="86">
          <cell r="A86">
            <v>10060509</v>
          </cell>
          <cell r="B86" t="str">
            <v>SHPR TF REG PIE 9"</v>
          </cell>
        </row>
        <row r="87">
          <cell r="A87">
            <v>10060506</v>
          </cell>
          <cell r="B87" t="str">
            <v>SHPR TF DEEP DISH 9"</v>
          </cell>
        </row>
        <row r="88">
          <cell r="A88">
            <v>20003491</v>
          </cell>
          <cell r="B88" t="str">
            <v>CARTON COMP DD PIE SHELL FZ</v>
          </cell>
        </row>
        <row r="89">
          <cell r="A89">
            <v>20014094</v>
          </cell>
          <cell r="B89" t="str">
            <v>SHPR 9" GENERIC PIE (BLANK)</v>
          </cell>
        </row>
        <row r="90">
          <cell r="A90">
            <v>20005062</v>
          </cell>
          <cell r="B90" t="str">
            <v>SHPR TURNOVERS 44C</v>
          </cell>
        </row>
        <row r="91">
          <cell r="A91">
            <v>20003154</v>
          </cell>
          <cell r="B91" t="str">
            <v>DVDR-FC 14.5 X 17 X 1 TAPERED TRAY</v>
          </cell>
        </row>
        <row r="92">
          <cell r="A92">
            <v>20020265</v>
          </cell>
          <cell r="B92" t="str">
            <v>CARTON AUTOFILL TF REGULAR PIE V2</v>
          </cell>
        </row>
        <row r="93">
          <cell r="A93">
            <v>20021690</v>
          </cell>
          <cell r="B93" t="str">
            <v>CARTON AUTOFILL TF PUFF PASTRY V3</v>
          </cell>
        </row>
        <row r="94">
          <cell r="A94">
            <v>10060527</v>
          </cell>
          <cell r="B94" t="str">
            <v>TRAY-TURNOVER</v>
          </cell>
        </row>
        <row r="95">
          <cell r="A95">
            <v>10059898</v>
          </cell>
          <cell r="B95" t="str">
            <v>FOIL DEEP DISH 9"</v>
          </cell>
        </row>
        <row r="96">
          <cell r="A96">
            <v>20021691</v>
          </cell>
          <cell r="B96" t="str">
            <v>CARTON AUTOFILL TF PATTY SHELL V3</v>
          </cell>
        </row>
        <row r="97">
          <cell r="A97">
            <v>10060504</v>
          </cell>
          <cell r="B97" t="str">
            <v>SHPR TF AV DEEP DISH 9"</v>
          </cell>
        </row>
        <row r="98">
          <cell r="A98">
            <v>10059899</v>
          </cell>
          <cell r="B98" t="str">
            <v>FOIL REGULAR PIE 9"</v>
          </cell>
        </row>
        <row r="99">
          <cell r="A99">
            <v>20020267</v>
          </cell>
          <cell r="B99" t="str">
            <v>CARTON AUTOFILL TF AV DEEP DISH V2</v>
          </cell>
        </row>
        <row r="100">
          <cell r="A100">
            <v>20020064</v>
          </cell>
          <cell r="B100" t="str">
            <v>CARTON METRO  PIE SHELLS FZ</v>
          </cell>
        </row>
        <row r="101">
          <cell r="A101">
            <v>10066726</v>
          </cell>
          <cell r="B101" t="str">
            <v>BRD TF PATTY DBL SIDED COATING</v>
          </cell>
        </row>
        <row r="102">
          <cell r="A102">
            <v>20003051</v>
          </cell>
          <cell r="B102" t="str">
            <v>PAPR-PAR QUILON 8X8</v>
          </cell>
        </row>
        <row r="103">
          <cell r="A103">
            <v>20021689</v>
          </cell>
          <cell r="B103" t="str">
            <v>PAPR-PAR 25LBS</v>
          </cell>
        </row>
        <row r="104">
          <cell r="A104">
            <v>10059902</v>
          </cell>
          <cell r="B104" t="str">
            <v>HOT MELT #324336</v>
          </cell>
        </row>
        <row r="105">
          <cell r="A105">
            <v>20020419</v>
          </cell>
          <cell r="B105" t="str">
            <v>HOT MELT GLUE H-8429 EVA</v>
          </cell>
        </row>
        <row r="106">
          <cell r="A106">
            <v>20020065</v>
          </cell>
          <cell r="B106" t="str">
            <v>CARTON METRO DD PIE SHELL FZ</v>
          </cell>
        </row>
        <row r="107">
          <cell r="A107">
            <v>20005150</v>
          </cell>
          <cell r="B107" t="str">
            <v>STRETCH WRAP 42G 20IN X 3352.64 MTR</v>
          </cell>
        </row>
        <row r="108">
          <cell r="A108">
            <v>10061536</v>
          </cell>
          <cell r="B108" t="str">
            <v>QUILLION SQUARE 8"</v>
          </cell>
        </row>
        <row r="109">
          <cell r="A109">
            <v>20003144</v>
          </cell>
          <cell r="B109" t="str">
            <v>SHPR TF PATTY SHELLS ECT 32</v>
          </cell>
        </row>
        <row r="110">
          <cell r="A110">
            <v>20003490</v>
          </cell>
          <cell r="B110" t="str">
            <v>CARTON COMP PIE SHELLS FZ</v>
          </cell>
        </row>
        <row r="111">
          <cell r="A111">
            <v>20002898</v>
          </cell>
          <cell r="B111" t="str">
            <v>SHPR  PRINTED KRAFT GENERIC</v>
          </cell>
        </row>
        <row r="112">
          <cell r="A112">
            <v>10059857</v>
          </cell>
          <cell r="B112" t="str">
            <v>OPP 0.8MIL 12"ROLL PLAIN</v>
          </cell>
        </row>
        <row r="113">
          <cell r="A113">
            <v>20021738</v>
          </cell>
          <cell r="B113" t="str">
            <v>V00288 TUFFLEX 72MMX914M HM195 HOTMLT CST TP CLR@4</v>
          </cell>
        </row>
        <row r="114">
          <cell r="A114">
            <v>20014561</v>
          </cell>
          <cell r="B114" t="str">
            <v>HOT MELT PELLETS PHC8250</v>
          </cell>
        </row>
        <row r="115">
          <cell r="A115">
            <v>20020275</v>
          </cell>
          <cell r="B115" t="str">
            <v>CARTON AUTOFILL TF PUFF PASTRY V2</v>
          </cell>
        </row>
        <row r="116">
          <cell r="A116">
            <v>20022800</v>
          </cell>
          <cell r="B116" t="str">
            <v>Buttermilk</v>
          </cell>
        </row>
        <row r="117">
          <cell r="A117">
            <v>20020276</v>
          </cell>
          <cell r="B117" t="str">
            <v>CARTON AUTOFILL TF PATTY SHELL V2</v>
          </cell>
        </row>
        <row r="118">
          <cell r="A118">
            <v>20002266</v>
          </cell>
          <cell r="B118" t="str">
            <v>BAG-U PLYBAG4474H</v>
          </cell>
        </row>
        <row r="119">
          <cell r="A119">
            <v>10055360</v>
          </cell>
          <cell r="B119" t="str">
            <v>7151QT 72MM X 914M CLEAR TAPE</v>
          </cell>
        </row>
        <row r="120">
          <cell r="A120">
            <v>20002456</v>
          </cell>
          <cell r="B120" t="str">
            <v>DICED APPLE PASTRY FILLING 60%</v>
          </cell>
        </row>
        <row r="121">
          <cell r="A121">
            <v>10050134</v>
          </cell>
          <cell r="B121" t="str">
            <v>YEAST-LIQUID BULK</v>
          </cell>
        </row>
        <row r="122">
          <cell r="A122">
            <v>10052007</v>
          </cell>
          <cell r="B122" t="str">
            <v>BUTTER UNSALTED</v>
          </cell>
        </row>
        <row r="123">
          <cell r="A123">
            <v>20008733</v>
          </cell>
          <cell r="B123" t="str">
            <v>FROZEN CROISSANT IMPROVER</v>
          </cell>
        </row>
        <row r="124">
          <cell r="A124">
            <v>20020322</v>
          </cell>
          <cell r="B124" t="str">
            <v>IREP UNSALTED BUTTER</v>
          </cell>
        </row>
        <row r="125">
          <cell r="A125">
            <v>10051097</v>
          </cell>
          <cell r="B125" t="str">
            <v>FLOUR WHITE ADA &amp; CS FREE</v>
          </cell>
        </row>
        <row r="126">
          <cell r="A126">
            <v>10050441</v>
          </cell>
          <cell r="B126" t="str">
            <v>DEXTROSE</v>
          </cell>
        </row>
        <row r="127">
          <cell r="A127">
            <v>20015713</v>
          </cell>
          <cell r="B127" t="str">
            <v>TEA BISCUIT MIX TOTE</v>
          </cell>
        </row>
        <row r="128">
          <cell r="A128">
            <v>10051060</v>
          </cell>
          <cell r="B128" t="str">
            <v>SUCROSE GRANULAR FINE WHITE 20</v>
          </cell>
        </row>
        <row r="129">
          <cell r="A129">
            <v>20015007</v>
          </cell>
          <cell r="B129" t="str">
            <v>PASTRY IMPROVER</v>
          </cell>
        </row>
        <row r="130">
          <cell r="A130">
            <v>10050224</v>
          </cell>
          <cell r="B130" t="str">
            <v>SKIM MILK POWDER HIGH TEMP</v>
          </cell>
        </row>
        <row r="131">
          <cell r="A131">
            <v>20013716</v>
          </cell>
          <cell r="B131" t="str">
            <v>OLD YELLOW CHEDDAR CHEESE</v>
          </cell>
        </row>
        <row r="132">
          <cell r="A132">
            <v>10050152</v>
          </cell>
          <cell r="B132" t="str">
            <v>HFCS BULK</v>
          </cell>
        </row>
        <row r="133">
          <cell r="A133">
            <v>20002455</v>
          </cell>
          <cell r="B133" t="str">
            <v>PREMIUM STRAWBERRY PASTRY FILLING39899</v>
          </cell>
        </row>
        <row r="134">
          <cell r="A134">
            <v>20002504</v>
          </cell>
          <cell r="B134" t="str">
            <v>GOLDEN VEG-PUFF MARGARINE NH</v>
          </cell>
        </row>
        <row r="135">
          <cell r="A135">
            <v>20014947</v>
          </cell>
          <cell r="B135" t="str">
            <v>FRUITFIL DICED APPLE</v>
          </cell>
        </row>
        <row r="136">
          <cell r="A136">
            <v>20014821</v>
          </cell>
          <cell r="B136" t="str">
            <v>SULTANA RAISINS-TDL</v>
          </cell>
        </row>
        <row r="137">
          <cell r="A137">
            <v>20000446</v>
          </cell>
          <cell r="B137" t="str">
            <v>ARTIFICIAL GRANULAR BUTTER FLAVOR</v>
          </cell>
        </row>
        <row r="138">
          <cell r="A138">
            <v>10051066</v>
          </cell>
          <cell r="B138" t="str">
            <v>BAKING POWDER ARTISAN</v>
          </cell>
        </row>
        <row r="139">
          <cell r="A139">
            <v>10050115</v>
          </cell>
          <cell r="B139" t="str">
            <v>ASCORBIC ACID PAR 60 TABLETS</v>
          </cell>
        </row>
        <row r="140">
          <cell r="A140">
            <v>20002930</v>
          </cell>
          <cell r="B140" t="str">
            <v>PREMIUM CHERRY FILLING</v>
          </cell>
        </row>
        <row r="141">
          <cell r="A141">
            <v>20014808</v>
          </cell>
          <cell r="B141" t="str">
            <v>NH 20 ALL PURPOSE SHORTENING</v>
          </cell>
        </row>
        <row r="142">
          <cell r="A142">
            <v>20007298</v>
          </cell>
          <cell r="B142" t="str">
            <v>SUCROSE COARSE - (20 KG)</v>
          </cell>
        </row>
        <row r="143">
          <cell r="A143">
            <v>10050522</v>
          </cell>
          <cell r="B143" t="str">
            <v>LARD CUBES</v>
          </cell>
        </row>
        <row r="144">
          <cell r="A144">
            <v>10051269</v>
          </cell>
          <cell r="B144" t="str">
            <v>SHORTENING FLAKE FLAVOURED</v>
          </cell>
        </row>
        <row r="145">
          <cell r="A145">
            <v>10050041</v>
          </cell>
          <cell r="B145" t="str">
            <v>OIL LIQUID VEGETABLE TOTE</v>
          </cell>
        </row>
        <row r="146">
          <cell r="A146">
            <v>20000070</v>
          </cell>
          <cell r="B146" t="str">
            <v>SHORTENING COVO NH</v>
          </cell>
        </row>
        <row r="147">
          <cell r="A147">
            <v>10051027</v>
          </cell>
          <cell r="B147" t="str">
            <v>SALT HYGRADE YPS 20KG BAG</v>
          </cell>
        </row>
        <row r="148">
          <cell r="A148">
            <v>20014981</v>
          </cell>
          <cell r="B148" t="str">
            <v>TEA BISCUIT MIX</v>
          </cell>
        </row>
        <row r="149">
          <cell r="A149">
            <v>20014951</v>
          </cell>
          <cell r="B149" t="str">
            <v>FRUITFIL CHERRY</v>
          </cell>
        </row>
        <row r="150">
          <cell r="A150">
            <v>20021813</v>
          </cell>
          <cell r="B150" t="str">
            <v>TDL SCONE BASE</v>
          </cell>
        </row>
        <row r="151">
          <cell r="A151">
            <v>10050450</v>
          </cell>
          <cell r="B151" t="str">
            <v>FILLING CRM CHS PASTRY-SB</v>
          </cell>
        </row>
        <row r="152">
          <cell r="A152">
            <v>10050012</v>
          </cell>
          <cell r="B152" t="str">
            <v>FLOUR PASTRY BAG</v>
          </cell>
        </row>
        <row r="153">
          <cell r="A153">
            <v>20005033</v>
          </cell>
          <cell r="B153" t="str">
            <v>APPLE PASTRY FILLING</v>
          </cell>
        </row>
        <row r="154">
          <cell r="A154">
            <v>20020167</v>
          </cell>
          <cell r="B154" t="str">
            <v>EXTENDO</v>
          </cell>
        </row>
        <row r="155">
          <cell r="A155">
            <v>10050145</v>
          </cell>
          <cell r="B155" t="str">
            <v>WHEY POWDER</v>
          </cell>
        </row>
        <row r="156">
          <cell r="A156">
            <v>10052416</v>
          </cell>
          <cell r="B156" t="str">
            <v>MONARCH SUPREME MARGARINE NH</v>
          </cell>
        </row>
        <row r="157">
          <cell r="A157">
            <v>10051083</v>
          </cell>
          <cell r="B157" t="str">
            <v>White Chocolate Chunks 600ct</v>
          </cell>
        </row>
        <row r="158">
          <cell r="A158">
            <v>10050898</v>
          </cell>
          <cell r="B158" t="str">
            <v>SEA SALT FINE CODE 2900</v>
          </cell>
        </row>
        <row r="159">
          <cell r="A159">
            <v>10050480</v>
          </cell>
          <cell r="B159" t="str">
            <v>FLOUR PASTRY BULK</v>
          </cell>
        </row>
        <row r="160">
          <cell r="A160">
            <v>10050019</v>
          </cell>
          <cell r="B160" t="str">
            <v>Vital Wheat Gluten</v>
          </cell>
        </row>
        <row r="161">
          <cell r="A161">
            <v>10050052</v>
          </cell>
          <cell r="B161" t="str">
            <v>CALCIUM PROPIONATE</v>
          </cell>
        </row>
        <row r="162">
          <cell r="A162">
            <v>10050054</v>
          </cell>
          <cell r="B162" t="str">
            <v>Potassium Sorbate</v>
          </cell>
        </row>
        <row r="163">
          <cell r="A163">
            <v>10050087</v>
          </cell>
          <cell r="B163" t="str">
            <v>FROZEN BLUEBERRIES</v>
          </cell>
        </row>
        <row r="164">
          <cell r="A164">
            <v>20021087</v>
          </cell>
          <cell r="B164" t="str">
            <v>ZINC OXIDE</v>
          </cell>
        </row>
        <row r="165">
          <cell r="A165">
            <v>10090001</v>
          </cell>
          <cell r="B165" t="str">
            <v>ULTRAFRESH CL150</v>
          </cell>
        </row>
        <row r="166">
          <cell r="A166">
            <v>10051487</v>
          </cell>
          <cell r="B166" t="str">
            <v>FERMAID SUPERRELAX</v>
          </cell>
        </row>
        <row r="167">
          <cell r="A167">
            <v>20000167</v>
          </cell>
          <cell r="B167" t="str">
            <v>40KG BAGGED ADA FREE WHITE FLOUR</v>
          </cell>
        </row>
        <row r="168">
          <cell r="A168">
            <v>10050517</v>
          </cell>
          <cell r="B168" t="str">
            <v>FROZEN DOUGH CONDITIONER</v>
          </cell>
        </row>
        <row r="169">
          <cell r="A169">
            <v>10060098</v>
          </cell>
          <cell r="B169" t="str">
            <v>CRANBERRIES SWEET AND DRIED</v>
          </cell>
        </row>
        <row r="170">
          <cell r="A170">
            <v>20021952</v>
          </cell>
          <cell r="B170" t="str">
            <v>DARK CHOCOLATE STICKS</v>
          </cell>
        </row>
        <row r="171">
          <cell r="A171">
            <v>10050438</v>
          </cell>
          <cell r="B171" t="str">
            <v>NO SHRINK</v>
          </cell>
        </row>
        <row r="172">
          <cell r="A172">
            <v>20020055</v>
          </cell>
          <cell r="B172" t="str">
            <v>SUNFLOWER LECITHIN</v>
          </cell>
        </row>
        <row r="173">
          <cell r="A173">
            <v>20000025</v>
          </cell>
          <cell r="B173" t="str">
            <v>BAGEL CROISSANT BASE VERSION 1</v>
          </cell>
        </row>
        <row r="174">
          <cell r="A174">
            <v>10050155</v>
          </cell>
          <cell r="B174" t="str">
            <v>SUGAR FINE 40KG</v>
          </cell>
        </row>
        <row r="175">
          <cell r="A175">
            <v>10050146</v>
          </cell>
          <cell r="B175" t="str">
            <v>BAKING SODA</v>
          </cell>
        </row>
        <row r="176">
          <cell r="A176">
            <v>10050465</v>
          </cell>
          <cell r="B176" t="str">
            <v>Butterscotch Flavour</v>
          </cell>
        </row>
        <row r="177">
          <cell r="A177">
            <v>10050133</v>
          </cell>
          <cell r="B177" t="str">
            <v>YEAST BAG</v>
          </cell>
        </row>
        <row r="178">
          <cell r="A178">
            <v>20004761</v>
          </cell>
          <cell r="B178" t="str">
            <v>BUTTER FLAVORED MARGARINE - NH</v>
          </cell>
        </row>
        <row r="179">
          <cell r="A179">
            <v>20004720</v>
          </cell>
          <cell r="B179" t="str">
            <v>BUTTER FLAVOUR NAT &amp; ART- LIQUID</v>
          </cell>
        </row>
        <row r="180">
          <cell r="A180">
            <v>20012020</v>
          </cell>
          <cell r="B180" t="str">
            <v>LEMONADE FLAV PASTRY FILLING</v>
          </cell>
        </row>
        <row r="181">
          <cell r="A181">
            <v>20004820</v>
          </cell>
          <cell r="B181" t="str">
            <v>CLEAR-COLORLESS FAT FLAKES</v>
          </cell>
        </row>
        <row r="182">
          <cell r="A182">
            <v>10050223</v>
          </cell>
          <cell r="B182" t="str">
            <v>MILK POWDER BUTTERMILK</v>
          </cell>
        </row>
        <row r="183">
          <cell r="A183">
            <v>10050428</v>
          </cell>
          <cell r="B183" t="str">
            <v>CHOCOLATE STICKS SEMI SWEET</v>
          </cell>
        </row>
        <row r="184">
          <cell r="A184">
            <v>20021876</v>
          </cell>
          <cell r="B184" t="str">
            <v>INTENSE FRESHNESS CL</v>
          </cell>
        </row>
        <row r="185">
          <cell r="A185">
            <v>20022797</v>
          </cell>
          <cell r="B185" t="str">
            <v>BIOBAKE FRESH 2500</v>
          </cell>
        </row>
        <row r="186">
          <cell r="A186">
            <v>20022788</v>
          </cell>
          <cell r="B186" t="str">
            <v>Frozen Biscuit Blend</v>
          </cell>
        </row>
        <row r="187">
          <cell r="A187">
            <v>10050087</v>
          </cell>
          <cell r="B187" t="str">
            <v>BLUEBERRY IQF WILD</v>
          </cell>
        </row>
        <row r="188">
          <cell r="A188">
            <v>20021695</v>
          </cell>
          <cell r="B188" t="str">
            <v>TRQ UNSALTED BUTTER</v>
          </cell>
        </row>
        <row r="189">
          <cell r="A189">
            <v>20021165</v>
          </cell>
          <cell r="B189" t="str">
            <v>APPLE PASTRY FILLING CLEAN LABEL</v>
          </cell>
        </row>
        <row r="190">
          <cell r="A190">
            <v>20012938</v>
          </cell>
          <cell r="B190" t="str">
            <v>NON-PHO BLUEBERRY BITES</v>
          </cell>
        </row>
        <row r="191">
          <cell r="A191">
            <v>921559</v>
          </cell>
          <cell r="B191" t="str">
            <v>Kelloggs Vegan Biscuit</v>
          </cell>
        </row>
        <row r="192">
          <cell r="A192">
            <v>20022165</v>
          </cell>
          <cell r="B192" t="str">
            <v>Compliment Regular Autofill</v>
          </cell>
        </row>
        <row r="193">
          <cell r="A193">
            <v>20022824</v>
          </cell>
          <cell r="B193" t="str">
            <v>Compliments Deep Dish Autofill</v>
          </cell>
        </row>
        <row r="194">
          <cell r="A194">
            <v>20022798</v>
          </cell>
          <cell r="B194" t="str">
            <v>Buttermilk Type Flavour</v>
          </cell>
        </row>
        <row r="195">
          <cell r="A195">
            <v>921054</v>
          </cell>
          <cell r="B195" t="str">
            <v>Buttermilk Biscuit</v>
          </cell>
        </row>
        <row r="196">
          <cell r="A196">
            <v>117908</v>
          </cell>
          <cell r="B196" t="str">
            <v>Mini Tarts 18 TF</v>
          </cell>
        </row>
        <row r="197">
          <cell r="A197">
            <v>20022324</v>
          </cell>
          <cell r="B197" t="str">
            <v>3 inch tart plastic tray</v>
          </cell>
        </row>
        <row r="198">
          <cell r="A198">
            <v>129071</v>
          </cell>
          <cell r="B198" t="str">
            <v>Selection 3inch tart</v>
          </cell>
        </row>
        <row r="199">
          <cell r="A199">
            <v>607691</v>
          </cell>
          <cell r="B199" t="str">
            <v>WIP Buttermilk</v>
          </cell>
        </row>
        <row r="200">
          <cell r="A200">
            <v>20022613</v>
          </cell>
          <cell r="B200" t="str">
            <v>Buttermilk Flow Wrap</v>
          </cell>
        </row>
        <row r="201">
          <cell r="A201">
            <v>118105</v>
          </cell>
          <cell r="B201" t="str">
            <v>Tart Shells 12 TF</v>
          </cell>
        </row>
        <row r="202">
          <cell r="A202">
            <v>117882</v>
          </cell>
          <cell r="B202" t="str">
            <v>Compliments 3inch</v>
          </cell>
        </row>
        <row r="203">
          <cell r="A203">
            <v>20023141</v>
          </cell>
          <cell r="B203" t="str">
            <v>Butter Flavour Emulsion</v>
          </cell>
        </row>
        <row r="204">
          <cell r="A204">
            <v>20023142</v>
          </cell>
          <cell r="B204" t="str">
            <v>Ultrasperse Gloden Yellow</v>
          </cell>
        </row>
        <row r="205">
          <cell r="A205">
            <v>921234</v>
          </cell>
          <cell r="B205" t="str">
            <v>TDL Clean Label</v>
          </cell>
        </row>
        <row r="206">
          <cell r="A206">
            <v>20022757</v>
          </cell>
          <cell r="B206" t="str">
            <v>Biobake Fresh 300</v>
          </cell>
        </row>
      </sheetData>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478FF5-410D-400F-B7FE-8F98DC905008}" name="Table2" displayName="Table2" ref="A4:AC133" totalsRowShown="0" headerRowDxfId="40" dataDxfId="38" headerRowBorderDxfId="39">
  <autoFilter ref="A4:AC133" xr:uid="{00000000-0009-0000-0100-000002000000}">
    <filterColumn colId="26">
      <customFilters>
        <customFilter operator="notEqual" val=" "/>
      </customFilters>
    </filterColumn>
  </autoFilter>
  <tableColumns count="29">
    <tableColumn id="1" xr3:uid="{CD7B58E2-DBCE-4CE9-BB72-6AABA80742D2}" name="Hold Number" dataDxfId="37"/>
    <tableColumn id="2" xr3:uid="{D430D11D-BE36-46B6-9993-5CE467117C9B}" name="Date Opened" dataDxfId="36"/>
    <tableColumn id="3" xr3:uid="{1795C6C2-D515-44EC-B9D5-D9C51E81E886}" name="Hold Category" dataDxfId="35"/>
    <tableColumn id="4" xr3:uid="{04C57746-7A1B-4704-ADFF-855EF24C7A91}" name="Period" dataDxfId="34"/>
    <tableColumn id="5" xr3:uid="{6172A706-8568-45AD-9B4A-A7EC86C16E7D}" name="Shift" dataDxfId="33"/>
    <tableColumn id="24" xr3:uid="{38C6FBD7-F553-4D01-B4EF-B5542A567110}" name="Type (Line)" dataDxfId="32"/>
    <tableColumn id="25" xr3:uid="{0848C8B5-45CC-4735-A8DB-35DBFAB1F28C}" name="Graph" dataDxfId="31">
      <calculatedColumnFormula>"HC"&amp;Table2[[#This Row],[Hold Category]]&amp;"P"&amp;Table2[[#This Row],[Period]]&amp;"C"&amp;Table2[[#This Row],[Type (Line)]]</calculatedColumnFormula>
    </tableColumn>
    <tableColumn id="6" xr3:uid="{FA2C416C-887B-4A14-AD9A-9E493DBE47CD}" name="Product Code" dataDxfId="30"/>
    <tableColumn id="7" xr3:uid="{125063E3-E85C-4C52-888D-F03DFC3F62C1}" name="Product Description" dataDxfId="29">
      <calculatedColumnFormula>IF(Table2[[#This Row],[Product Code]]="","",VLOOKUP(Table2[[#This Row],[Product Code]],'[5]Product List'!A:B,2,FALSE))</calculatedColumnFormula>
    </tableColumn>
    <tableColumn id="8" xr3:uid="{AE1DCC22-6158-4166-890C-735C474E416D}" name="Batch Number (lot)" dataDxfId="28"/>
    <tableColumn id="9" xr3:uid="{DBA783AA-C140-447C-9394-77436808D8BA}" name="Expiry Date" dataDxfId="27"/>
    <tableColumn id="10" xr3:uid="{3C93326E-DB6C-4642-A5EF-995E9802FD7C}" name="Quantity on Hold_x000a_(FG=CS, ING= KG)" dataDxfId="26"/>
    <tableColumn id="11" xr3:uid="{CCBA692B-41C6-4FC8-B8AA-83FA2627AA89}" name="Reason of Hold" dataDxfId="25"/>
    <tableColumn id="12" xr3:uid="{87044C96-CC8E-479A-BCA3-F90AAE5251A6}" name="Hold Reason Code" dataDxfId="24"/>
    <tableColumn id="13" xr3:uid="{C36CBC8C-5C66-40EF-ABC7-C15BA5406132}" name="Initials of Person Creating Hold" dataDxfId="23"/>
    <tableColumn id="14" xr3:uid="{E469AB30-B8E8-4BDB-852E-EB6A92BEEF73}" name="Results of Inspection_x000a_(within 48 hours/ if applicable)" dataDxfId="22"/>
    <tableColumn id="15" xr3:uid="{EE0E20C2-2362-4103-BA3A-6E9A1B747873}" name="Actions to be Taken for Release_x000a_(Production Decision_x000a_within 14 business days)" dataDxfId="21"/>
    <tableColumn id="16" xr3:uid="{D6FCA087-039D-4A20-ADC9-E6C9B8334461}" name="Corrective Action" dataDxfId="20"/>
    <tableColumn id="17" xr3:uid="{F3EE296D-FA86-46C4-9409-A8B6664CF300}" name="Initials of Person Authorizing Actions" dataDxfId="19"/>
    <tableColumn id="18" xr3:uid="{40AAA546-CE7E-47AF-97B4-3665F8FD0C08}" name="Date of Decision" dataDxfId="18"/>
    <tableColumn id="19" xr3:uid="{0E771C37-363A-4CAE-9780-AD11691C43D0}" name="Released for sale" dataDxfId="17"/>
    <tableColumn id="20" xr3:uid="{93FCD757-27EF-4CC7-9081-100CEE561142}" name="Cases disposed" dataDxfId="16"/>
    <tableColumn id="21" xr3:uid="{54B4786D-64A5-4D77-99D6-CC41EBFCB192}" name="Second Sale" dataDxfId="15"/>
    <tableColumn id="22" xr3:uid="{D72AA2A8-4253-4F28-9646-BEF755EE63BE}" name="Initials of Person Closing Hold" dataDxfId="14"/>
    <tableColumn id="23" xr3:uid="{BA6E2E22-112A-4265-B4D7-27DF5917968A}" name="Date closed" dataDxfId="13"/>
    <tableColumn id="26" xr3:uid="{CF0BD18E-485A-4427-9B5E-186E562A2797}" name="# of Days Open" dataDxfId="12">
      <calculatedColumnFormula>IF(A5="","",IF(Table2[[#This Row],[Date closed]]="",(TODAY()-B5),(Y5-B5)))</calculatedColumnFormula>
    </tableColumn>
    <tableColumn id="27" xr3:uid="{25C16B52-ACE2-4603-A76C-09B82C63DD7A}" name="Hold Status" dataDxfId="11"/>
    <tableColumn id="28" xr3:uid="{E7D256F1-CB5E-400E-8066-1E4978274125}" name="Column1" dataDxfId="10"/>
    <tableColumn id="29" xr3:uid="{A25983B2-5C5B-424D-A5A8-C469988BA287}" name="Column2" dataDxfId="9"/>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D0431-C48B-4D22-9AC5-39D83A9FA646}">
  <sheetPr>
    <pageSetUpPr fitToPage="1"/>
  </sheetPr>
  <dimension ref="A1:AY139"/>
  <sheetViews>
    <sheetView tabSelected="1" zoomScale="60" zoomScaleNormal="60" workbookViewId="0">
      <pane xSplit="1" ySplit="4" topLeftCell="B5" activePane="bottomRight" state="frozen"/>
      <selection pane="topRight" activeCell="B1" sqref="B1"/>
      <selection pane="bottomLeft" activeCell="A3" sqref="A3"/>
      <selection pane="bottomRight" activeCell="I5" sqref="I5"/>
    </sheetView>
  </sheetViews>
  <sheetFormatPr defaultColWidth="13" defaultRowHeight="12.5" x14ac:dyDescent="0.35"/>
  <cols>
    <col min="1" max="2" width="12.81640625" style="186" bestFit="1" customWidth="1"/>
    <col min="3" max="3" width="14" style="186" hidden="1" customWidth="1"/>
    <col min="4" max="4" width="7" style="186" bestFit="1" customWidth="1"/>
    <col min="5" max="5" width="5.1796875" style="186" bestFit="1" customWidth="1"/>
    <col min="6" max="6" width="11.1796875" style="186" customWidth="1"/>
    <col min="7" max="7" width="18.26953125" style="186" hidden="1" customWidth="1"/>
    <col min="8" max="8" width="17" style="186" customWidth="1"/>
    <col min="9" max="9" width="27.26953125" style="186" customWidth="1"/>
    <col min="10" max="10" width="14.54296875" style="186" customWidth="1"/>
    <col min="11" max="11" width="12.81640625" style="186" customWidth="1"/>
    <col min="12" max="12" width="14.54296875" style="186" customWidth="1"/>
    <col min="13" max="13" width="23.1796875" style="186" customWidth="1"/>
    <col min="14" max="14" width="18" style="186" bestFit="1" customWidth="1"/>
    <col min="15" max="15" width="16.26953125" style="186" bestFit="1" customWidth="1"/>
    <col min="16" max="16" width="22.26953125" style="186" customWidth="1"/>
    <col min="17" max="17" width="95" style="186" bestFit="1" customWidth="1"/>
    <col min="18" max="18" width="57.54296875" style="186" customWidth="1"/>
    <col min="19" max="19" width="35.1796875" style="186" bestFit="1" customWidth="1"/>
    <col min="20" max="20" width="15.81640625" style="186" bestFit="1" customWidth="1"/>
    <col min="21" max="21" width="22.453125" style="186" bestFit="1" customWidth="1"/>
    <col min="22" max="22" width="15" style="186" bestFit="1" customWidth="1"/>
    <col min="23" max="23" width="12.54296875" style="186" bestFit="1" customWidth="1"/>
    <col min="24" max="24" width="16.26953125" style="186" bestFit="1" customWidth="1"/>
    <col min="25" max="25" width="11.54296875" style="186" bestFit="1" customWidth="1"/>
    <col min="26" max="26" width="14.7265625" style="186" bestFit="1" customWidth="1"/>
    <col min="27" max="27" width="15.81640625" style="186" bestFit="1" customWidth="1"/>
    <col min="28" max="16384" width="13" style="186"/>
  </cols>
  <sheetData>
    <row r="1" spans="1:51" customFormat="1" ht="15.75" customHeight="1" x14ac:dyDescent="0.35">
      <c r="A1" s="216" t="s">
        <v>0</v>
      </c>
      <c r="B1" s="217"/>
      <c r="C1" s="217"/>
      <c r="D1" s="217"/>
      <c r="E1" s="217"/>
      <c r="F1" s="217"/>
      <c r="G1" s="217"/>
      <c r="H1" s="217"/>
      <c r="I1" s="217"/>
      <c r="J1" s="217"/>
      <c r="K1" s="95"/>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row>
    <row r="2" spans="1:51" ht="14.5" x14ac:dyDescent="0.35">
      <c r="A2" s="218" t="s">
        <v>1</v>
      </c>
      <c r="B2" s="219"/>
      <c r="C2" s="219"/>
      <c r="D2" s="219"/>
      <c r="E2" s="219"/>
      <c r="F2" s="219"/>
      <c r="G2" s="219"/>
      <c r="H2" s="219"/>
      <c r="I2" s="219"/>
      <c r="J2" s="219"/>
    </row>
    <row r="3" spans="1:51" ht="28.5" customHeight="1" x14ac:dyDescent="0.35">
      <c r="A3" s="178"/>
      <c r="B3" s="178"/>
      <c r="C3" s="178"/>
      <c r="D3" s="178"/>
      <c r="E3" s="178"/>
      <c r="F3" s="178"/>
      <c r="G3" s="178"/>
      <c r="H3" s="178"/>
      <c r="I3" s="178"/>
      <c r="J3" s="178"/>
      <c r="K3" s="178"/>
      <c r="L3" s="178"/>
      <c r="M3" s="178"/>
      <c r="N3" s="178"/>
      <c r="O3" s="178"/>
      <c r="P3" s="179"/>
      <c r="Q3" s="179"/>
      <c r="R3" s="211" t="s">
        <v>2</v>
      </c>
      <c r="S3" s="212"/>
      <c r="T3" s="212"/>
      <c r="U3" s="213" t="s">
        <v>3</v>
      </c>
      <c r="V3" s="214"/>
      <c r="W3" s="215"/>
      <c r="X3" s="182"/>
      <c r="Y3" s="183"/>
      <c r="Z3" s="184"/>
      <c r="AA3" s="185"/>
      <c r="AB3" s="186" t="s">
        <v>4</v>
      </c>
      <c r="AC3" s="186" t="s">
        <v>5</v>
      </c>
    </row>
    <row r="4" spans="1:51" ht="52" x14ac:dyDescent="0.35">
      <c r="A4" s="187" t="s">
        <v>6</v>
      </c>
      <c r="B4" s="187" t="s">
        <v>7</v>
      </c>
      <c r="C4" s="187" t="s">
        <v>8</v>
      </c>
      <c r="D4" s="187" t="s">
        <v>9</v>
      </c>
      <c r="E4" s="187" t="s">
        <v>10</v>
      </c>
      <c r="F4" s="187" t="s">
        <v>11</v>
      </c>
      <c r="G4" s="187" t="s">
        <v>12</v>
      </c>
      <c r="H4" s="187" t="s">
        <v>13</v>
      </c>
      <c r="I4" s="187" t="s">
        <v>14</v>
      </c>
      <c r="J4" s="187" t="s">
        <v>15</v>
      </c>
      <c r="K4" s="187" t="s">
        <v>16</v>
      </c>
      <c r="L4" s="187" t="s">
        <v>17</v>
      </c>
      <c r="M4" s="187" t="s">
        <v>18</v>
      </c>
      <c r="N4" s="187" t="s">
        <v>19</v>
      </c>
      <c r="O4" s="187" t="s">
        <v>20</v>
      </c>
      <c r="P4" s="188" t="s">
        <v>21</v>
      </c>
      <c r="Q4" s="188" t="s">
        <v>22</v>
      </c>
      <c r="R4" s="180" t="s">
        <v>23</v>
      </c>
      <c r="S4" s="181" t="s">
        <v>24</v>
      </c>
      <c r="T4" s="181" t="s">
        <v>25</v>
      </c>
      <c r="U4" s="189" t="s">
        <v>26</v>
      </c>
      <c r="V4" s="190" t="s">
        <v>27</v>
      </c>
      <c r="W4" s="189" t="s">
        <v>28</v>
      </c>
      <c r="X4" s="191" t="s">
        <v>29</v>
      </c>
      <c r="Y4" s="192" t="s">
        <v>30</v>
      </c>
      <c r="Z4" s="193" t="s">
        <v>31</v>
      </c>
      <c r="AA4" s="194" t="s">
        <v>32</v>
      </c>
      <c r="AB4" s="195" t="s">
        <v>33</v>
      </c>
      <c r="AC4" s="195" t="s">
        <v>34</v>
      </c>
    </row>
    <row r="5" spans="1:51" ht="134.25" customHeight="1" x14ac:dyDescent="0.35">
      <c r="B5" s="196"/>
      <c r="K5" s="196"/>
      <c r="M5" s="197"/>
      <c r="Q5" s="198"/>
      <c r="T5" s="199"/>
      <c r="Y5" s="196"/>
      <c r="Z5" s="200"/>
      <c r="AA5" s="201"/>
      <c r="AB5" s="202"/>
    </row>
    <row r="6" spans="1:51" ht="81.75" customHeight="1" x14ac:dyDescent="0.35">
      <c r="B6" s="196"/>
      <c r="K6" s="196"/>
      <c r="M6" s="198"/>
      <c r="Q6" s="198"/>
      <c r="R6" s="203"/>
      <c r="T6" s="199"/>
      <c r="Y6" s="196"/>
      <c r="Z6" s="200" t="str">
        <f ca="1">IF(A6="","",IF(Table2[[#This Row],[Date closed]]="",(TODAY()-B6),(Y6-B6)))</f>
        <v/>
      </c>
      <c r="AA6" s="201" t="s">
        <v>35</v>
      </c>
      <c r="AB6" s="204"/>
    </row>
    <row r="7" spans="1:51" ht="96.75" customHeight="1" x14ac:dyDescent="0.35">
      <c r="B7" s="196"/>
      <c r="K7" s="196"/>
      <c r="M7" s="198"/>
      <c r="Q7" s="198"/>
      <c r="R7" s="198"/>
      <c r="T7" s="199"/>
      <c r="Y7" s="196"/>
      <c r="Z7" s="200" t="str">
        <f ca="1">IF(A7="","",IF(Table2[[#This Row],[Date closed]]="",(TODAY()-B7),(Y7-B7)))</f>
        <v/>
      </c>
      <c r="AA7" s="201" t="s">
        <v>35</v>
      </c>
      <c r="AB7" s="204"/>
    </row>
    <row r="8" spans="1:51" ht="65.25" customHeight="1" x14ac:dyDescent="0.35">
      <c r="B8" s="196"/>
      <c r="K8" s="196"/>
      <c r="M8" s="198"/>
      <c r="Q8" s="198"/>
      <c r="T8" s="199"/>
      <c r="Y8" s="196"/>
      <c r="Z8" s="200" t="str">
        <f ca="1">IF(A8="","",IF(Table2[[#This Row],[Date closed]]="",(TODAY()-B8),(Y8-B8)))</f>
        <v/>
      </c>
      <c r="AA8" s="201" t="s">
        <v>35</v>
      </c>
      <c r="AB8" s="204"/>
    </row>
    <row r="9" spans="1:51" x14ac:dyDescent="0.35">
      <c r="B9" s="196"/>
      <c r="C9" s="186">
        <v>2</v>
      </c>
      <c r="G9" s="186" t="str">
        <f>"HC"&amp;Table2[[#This Row],[Hold Category]]&amp;"P"&amp;Table2[[#This Row],[Period]]&amp;"C"&amp;Table2[[#This Row],[Type (Line)]]</f>
        <v>HC2PC</v>
      </c>
      <c r="K9" s="196"/>
      <c r="M9" s="198"/>
      <c r="Q9" s="198"/>
      <c r="R9" s="198"/>
      <c r="S9" s="198"/>
      <c r="T9" s="199"/>
      <c r="Y9" s="196"/>
      <c r="Z9" s="200" t="str">
        <f ca="1">IF(A9="","",IF(Table2[[#This Row],[Date closed]]="",(TODAY()-B9),(Y9-B9)))</f>
        <v/>
      </c>
      <c r="AA9" s="201" t="s">
        <v>35</v>
      </c>
      <c r="AB9" s="202"/>
    </row>
    <row r="10" spans="1:51" x14ac:dyDescent="0.35">
      <c r="B10" s="196"/>
      <c r="C10" s="186">
        <v>1</v>
      </c>
      <c r="G10" s="186" t="str">
        <f>"HC"&amp;Table2[[#This Row],[Hold Category]]&amp;"P"&amp;Table2[[#This Row],[Period]]&amp;"C"&amp;Table2[[#This Row],[Type (Line)]]</f>
        <v>HC1PC</v>
      </c>
      <c r="K10" s="196"/>
      <c r="M10" s="198"/>
      <c r="Q10" s="198"/>
      <c r="R10" s="198"/>
      <c r="T10" s="199"/>
      <c r="Y10" s="196"/>
      <c r="Z10" s="200" t="str">
        <f ca="1">IF(A10="","",IF(Table2[[#This Row],[Date closed]]="",(TODAY()-B10),(Y10-B10)))</f>
        <v/>
      </c>
      <c r="AA10" s="201" t="s">
        <v>35</v>
      </c>
      <c r="AB10" s="204"/>
    </row>
    <row r="11" spans="1:51" ht="33.75" customHeight="1" x14ac:dyDescent="0.35">
      <c r="B11" s="196"/>
      <c r="C11" s="186">
        <v>2</v>
      </c>
      <c r="G11" s="186" t="str">
        <f>"HC"&amp;Table2[[#This Row],[Hold Category]]&amp;"P"&amp;Table2[[#This Row],[Period]]&amp;"C"&amp;Table2[[#This Row],[Type (Line)]]</f>
        <v>HC2PC</v>
      </c>
      <c r="J11" s="205"/>
      <c r="K11" s="196"/>
      <c r="M11" s="198"/>
      <c r="Q11" s="198"/>
      <c r="T11" s="199"/>
      <c r="Y11" s="196"/>
      <c r="Z11" s="200" t="str">
        <f ca="1">IF(A11="","",IF(Table2[[#This Row],[Date closed]]="",(TODAY()-B11),(Y11-B11)))</f>
        <v/>
      </c>
      <c r="AA11" s="201" t="s">
        <v>35</v>
      </c>
      <c r="AB11" s="202"/>
    </row>
    <row r="12" spans="1:51" ht="64.5" customHeight="1" x14ac:dyDescent="0.35">
      <c r="B12" s="196"/>
      <c r="C12" s="186">
        <v>2</v>
      </c>
      <c r="G12" s="186" t="str">
        <f>"HC"&amp;Table2[[#This Row],[Hold Category]]&amp;"P"&amp;Table2[[#This Row],[Period]]&amp;"C"&amp;Table2[[#This Row],[Type (Line)]]</f>
        <v>HC2PC</v>
      </c>
      <c r="K12" s="196"/>
      <c r="M12" s="198"/>
      <c r="Q12" s="198"/>
      <c r="R12" s="198"/>
      <c r="T12" s="199"/>
      <c r="Y12" s="196"/>
      <c r="Z12" s="200"/>
      <c r="AA12" s="201" t="s">
        <v>35</v>
      </c>
      <c r="AB12" s="202"/>
    </row>
    <row r="13" spans="1:51" x14ac:dyDescent="0.35">
      <c r="B13" s="196"/>
      <c r="C13" s="186">
        <v>2</v>
      </c>
      <c r="G13" s="186" t="str">
        <f>"HC"&amp;Table2[[#This Row],[Hold Category]]&amp;"P"&amp;Table2[[#This Row],[Period]]&amp;"C"&amp;Table2[[#This Row],[Type (Line)]]</f>
        <v>HC2PC</v>
      </c>
      <c r="K13" s="196"/>
      <c r="M13" s="198"/>
      <c r="Q13" s="198"/>
      <c r="R13" s="198"/>
      <c r="T13" s="199"/>
      <c r="Y13" s="196"/>
      <c r="Z13" s="200" t="str">
        <f ca="1">IF(A13="","",IF(Table2[[#This Row],[Date closed]]="",(TODAY()-B13),(Y13-B13)))</f>
        <v/>
      </c>
      <c r="AA13" s="201" t="s">
        <v>35</v>
      </c>
      <c r="AB13" s="204"/>
    </row>
    <row r="14" spans="1:51" x14ac:dyDescent="0.35">
      <c r="B14" s="196"/>
      <c r="C14" s="186">
        <v>1</v>
      </c>
      <c r="G14" s="186" t="str">
        <f>"HC"&amp;Table2[[#This Row],[Hold Category]]&amp;"P"&amp;Table2[[#This Row],[Period]]&amp;"C"&amp;Table2[[#This Row],[Type (Line)]]</f>
        <v>HC1PC</v>
      </c>
      <c r="K14" s="196"/>
      <c r="M14" s="198"/>
      <c r="Q14" s="198"/>
      <c r="R14" s="198"/>
      <c r="T14" s="199"/>
      <c r="Y14" s="196"/>
      <c r="Z14" s="200" t="str">
        <f ca="1">IF(A14="","",IF(Table2[[#This Row],[Date closed]]="",(TODAY()-B14),(Y14-B14)))</f>
        <v/>
      </c>
      <c r="AA14" s="201" t="s">
        <v>35</v>
      </c>
      <c r="AB14" s="202"/>
      <c r="AD14" s="206"/>
    </row>
    <row r="15" spans="1:51" x14ac:dyDescent="0.35">
      <c r="B15" s="196"/>
      <c r="C15" s="186">
        <v>2</v>
      </c>
      <c r="G15" s="186" t="str">
        <f>"HC"&amp;Table2[[#This Row],[Hold Category]]&amp;"P"&amp;Table2[[#This Row],[Period]]&amp;"C"&amp;Table2[[#This Row],[Type (Line)]]</f>
        <v>HC2PC</v>
      </c>
      <c r="K15" s="196"/>
      <c r="M15" s="198"/>
      <c r="Q15" s="198"/>
      <c r="R15" s="198"/>
      <c r="T15" s="199"/>
      <c r="Y15" s="196"/>
      <c r="Z15" s="200" t="str">
        <f ca="1">IF(A15="","",IF(Table2[[#This Row],[Date closed]]="",(TODAY()-B15),(Y15-B15)))</f>
        <v/>
      </c>
      <c r="AA15" s="201" t="s">
        <v>35</v>
      </c>
      <c r="AB15" s="204"/>
    </row>
    <row r="16" spans="1:51" x14ac:dyDescent="0.35">
      <c r="B16" s="196"/>
      <c r="C16" s="186">
        <v>2</v>
      </c>
      <c r="G16" s="186" t="str">
        <f>"HC"&amp;Table2[[#This Row],[Hold Category]]&amp;"P"&amp;Table2[[#This Row],[Period]]&amp;"C"&amp;Table2[[#This Row],[Type (Line)]]</f>
        <v>HC2PC</v>
      </c>
      <c r="K16" s="196"/>
      <c r="M16" s="198"/>
      <c r="Q16" s="198"/>
      <c r="T16" s="199"/>
      <c r="Y16" s="196"/>
      <c r="Z16" s="200" t="str">
        <f ca="1">IF(A16="","",IF(Table2[[#This Row],[Date closed]]="",(TODAY()-B16),(Y16-B16)))</f>
        <v/>
      </c>
      <c r="AA16" s="201" t="s">
        <v>35</v>
      </c>
      <c r="AB16" s="202"/>
    </row>
    <row r="17" spans="2:30" ht="84" customHeight="1" x14ac:dyDescent="0.35">
      <c r="B17" s="196"/>
      <c r="C17" s="186">
        <v>2</v>
      </c>
      <c r="G17" s="186" t="str">
        <f>"HC"&amp;Table2[[#This Row],[Hold Category]]&amp;"P"&amp;Table2[[#This Row],[Period]]&amp;"C"&amp;Table2[[#This Row],[Type (Line)]]</f>
        <v>HC2PC</v>
      </c>
      <c r="J17" s="200"/>
      <c r="K17" s="196"/>
      <c r="M17" s="198"/>
      <c r="Q17" s="198"/>
      <c r="T17" s="199"/>
      <c r="Y17" s="196"/>
      <c r="Z17" s="200" t="str">
        <f ca="1">IF(A17="","",IF(Table2[[#This Row],[Date closed]]="",(TODAY()-B17),(Y17-B17)))</f>
        <v/>
      </c>
      <c r="AA17" s="201" t="s">
        <v>35</v>
      </c>
      <c r="AB17" s="204"/>
    </row>
    <row r="18" spans="2:30" ht="14.5" x14ac:dyDescent="0.35">
      <c r="B18" s="196"/>
      <c r="C18" s="186">
        <v>2</v>
      </c>
      <c r="G18" s="186" t="str">
        <f>"HC"&amp;Table2[[#This Row],[Hold Category]]&amp;"P"&amp;Table2[[#This Row],[Period]]&amp;"C"&amp;Table2[[#This Row],[Type (Line)]]</f>
        <v>HC2PC</v>
      </c>
      <c r="K18" s="196"/>
      <c r="M18" s="198"/>
      <c r="Q18" s="198"/>
      <c r="T18" s="199"/>
      <c r="Y18" s="196"/>
      <c r="Z18" s="200" t="str">
        <f ca="1">IF(A18="","",IF(Table2[[#This Row],[Date closed]]="",(TODAY()-B18),(Y18-B18)))</f>
        <v/>
      </c>
      <c r="AA18" s="201" t="s">
        <v>35</v>
      </c>
      <c r="AB18" s="207"/>
    </row>
    <row r="19" spans="2:30" ht="100.5" customHeight="1" x14ac:dyDescent="0.35">
      <c r="B19" s="196"/>
      <c r="C19" s="186">
        <v>2</v>
      </c>
      <c r="G19" s="186" t="str">
        <f>"HC"&amp;Table2[[#This Row],[Hold Category]]&amp;"P"&amp;Table2[[#This Row],[Period]]&amp;"C"&amp;Table2[[#This Row],[Type (Line)]]</f>
        <v>HC2PC</v>
      </c>
      <c r="K19" s="196"/>
      <c r="M19" s="198"/>
      <c r="Q19" s="198"/>
      <c r="T19" s="199"/>
      <c r="Y19" s="196"/>
      <c r="Z19" s="200" t="str">
        <f ca="1">IF(A19="","",IF(Table2[[#This Row],[Date closed]]="",(TODAY()-B19),(Y19-B19)))</f>
        <v/>
      </c>
      <c r="AA19" s="201" t="s">
        <v>35</v>
      </c>
      <c r="AB19" s="202"/>
    </row>
    <row r="20" spans="2:30" ht="48" customHeight="1" x14ac:dyDescent="0.35">
      <c r="B20" s="196"/>
      <c r="C20" s="186">
        <v>2</v>
      </c>
      <c r="G20" s="186" t="str">
        <f>"HC"&amp;Table2[[#This Row],[Hold Category]]&amp;"P"&amp;Table2[[#This Row],[Period]]&amp;"C"&amp;Table2[[#This Row],[Type (Line)]]</f>
        <v>HC2PC</v>
      </c>
      <c r="H20" s="207"/>
      <c r="J20" s="207"/>
      <c r="K20" s="196"/>
      <c r="M20" s="198"/>
      <c r="Q20" s="198"/>
      <c r="R20" s="198"/>
      <c r="T20" s="199"/>
      <c r="Y20" s="196"/>
      <c r="Z20" s="200" t="str">
        <f ca="1">IF(A20="","",IF(Table2[[#This Row],[Date closed]]="",(TODAY()-B20),(Y20-B20)))</f>
        <v/>
      </c>
      <c r="AA20" s="201" t="s">
        <v>35</v>
      </c>
      <c r="AB20" s="202"/>
    </row>
    <row r="21" spans="2:30" ht="14.5" x14ac:dyDescent="0.35">
      <c r="B21" s="196"/>
      <c r="C21" s="186">
        <v>1</v>
      </c>
      <c r="G21" s="186" t="str">
        <f>"HC"&amp;Table2[[#This Row],[Hold Category]]&amp;"P"&amp;Table2[[#This Row],[Period]]&amp;"C"&amp;Table2[[#This Row],[Type (Line)]]</f>
        <v>HC1PC</v>
      </c>
      <c r="J21" s="207"/>
      <c r="K21" s="196"/>
      <c r="M21" s="198"/>
      <c r="Q21" s="198"/>
      <c r="R21" s="198"/>
      <c r="T21" s="199"/>
      <c r="Y21" s="196"/>
      <c r="Z21" s="200" t="str">
        <f ca="1">IF(A21="","",IF(Table2[[#This Row],[Date closed]]="",(TODAY()-B21),(Y21-B21)))</f>
        <v/>
      </c>
      <c r="AA21" s="201" t="s">
        <v>35</v>
      </c>
      <c r="AB21" s="202"/>
      <c r="AD21" s="206"/>
    </row>
    <row r="22" spans="2:30" x14ac:dyDescent="0.35">
      <c r="B22" s="196"/>
      <c r="C22" s="186">
        <v>1</v>
      </c>
      <c r="G22" s="186" t="str">
        <f>"HC"&amp;Table2[[#This Row],[Hold Category]]&amp;"P"&amp;Table2[[#This Row],[Period]]&amp;"C"&amp;Table2[[#This Row],[Type (Line)]]</f>
        <v>HC1PC</v>
      </c>
      <c r="K22" s="196"/>
      <c r="M22" s="198"/>
      <c r="Q22" s="198"/>
      <c r="R22" s="198"/>
      <c r="T22" s="199"/>
      <c r="Y22" s="196"/>
      <c r="Z22" s="200" t="str">
        <f ca="1">IF(A22="","",IF(Table2[[#This Row],[Date closed]]="",(TODAY()-B22),(Y22-B22)))</f>
        <v/>
      </c>
      <c r="AA22" s="201" t="s">
        <v>35</v>
      </c>
      <c r="AB22" s="204"/>
    </row>
    <row r="23" spans="2:30" ht="40.5" customHeight="1" x14ac:dyDescent="0.35">
      <c r="B23" s="196"/>
      <c r="C23" s="186">
        <v>1</v>
      </c>
      <c r="G23" s="186" t="str">
        <f>"HC"&amp;Table2[[#This Row],[Hold Category]]&amp;"P"&amp;Table2[[#This Row],[Period]]&amp;"C"&amp;Table2[[#This Row],[Type (Line)]]</f>
        <v>HC1PC</v>
      </c>
      <c r="K23" s="196"/>
      <c r="M23" s="198"/>
      <c r="Q23" s="198"/>
      <c r="R23" s="198"/>
      <c r="T23" s="199"/>
      <c r="Y23" s="196"/>
      <c r="Z23" s="200" t="str">
        <f ca="1">IF(A23="","",IF(Table2[[#This Row],[Date closed]]="",(TODAY()-B23),(Y23-B23)))</f>
        <v/>
      </c>
      <c r="AA23" s="201" t="s">
        <v>35</v>
      </c>
    </row>
    <row r="24" spans="2:30" ht="53.25" customHeight="1" x14ac:dyDescent="0.35">
      <c r="B24" s="196"/>
      <c r="C24" s="186">
        <v>1</v>
      </c>
      <c r="G24" s="186" t="str">
        <f>"HC"&amp;Table2[[#This Row],[Hold Category]]&amp;"P"&amp;Table2[[#This Row],[Period]]&amp;"C"&amp;Table2[[#This Row],[Type (Line)]]</f>
        <v>HC1PC</v>
      </c>
      <c r="I24" s="186" t="str">
        <f>IF(Table2[[#This Row],[Product Code]]="","",VLOOKUP(Table2[[#This Row],[Product Code]],'[5]Product List'!A:B,2,FALSE))</f>
        <v/>
      </c>
      <c r="K24" s="196"/>
      <c r="M24" s="198"/>
      <c r="Q24" s="198"/>
      <c r="R24" s="198"/>
      <c r="T24" s="199"/>
      <c r="Y24" s="196"/>
      <c r="Z24" s="200" t="str">
        <f ca="1">IF(A24="","",IF(Table2[[#This Row],[Date closed]]="",(TODAY()-B24),(Y24-B24)))</f>
        <v/>
      </c>
      <c r="AA24" s="201" t="s">
        <v>36</v>
      </c>
      <c r="AB24" s="202"/>
    </row>
    <row r="25" spans="2:30" ht="69" customHeight="1" x14ac:dyDescent="0.35">
      <c r="B25" s="196"/>
      <c r="C25" s="186">
        <v>2</v>
      </c>
      <c r="G25" s="186" t="str">
        <f>"HC"&amp;Table2[[#This Row],[Hold Category]]&amp;"P"&amp;Table2[[#This Row],[Period]]&amp;"C"&amp;Table2[[#This Row],[Type (Line)]]</f>
        <v>HC2PC</v>
      </c>
      <c r="I25" s="186" t="str">
        <f>IF(Table2[[#This Row],[Product Code]]="","",VLOOKUP(Table2[[#This Row],[Product Code]],'[5]Product List'!A:B,2,FALSE))</f>
        <v/>
      </c>
      <c r="K25" s="196"/>
      <c r="M25" s="198"/>
      <c r="Q25" s="198"/>
      <c r="T25" s="199"/>
      <c r="Y25" s="196"/>
      <c r="Z25" s="200" t="str">
        <f ca="1">IF(A25="","",IF(Table2[[#This Row],[Date closed]]="",(TODAY()-B25),(Y25-B25)))</f>
        <v/>
      </c>
      <c r="AA25" s="201" t="s">
        <v>36</v>
      </c>
      <c r="AB25" s="202"/>
    </row>
    <row r="26" spans="2:30" ht="82.15" customHeight="1" x14ac:dyDescent="0.35">
      <c r="B26" s="196"/>
      <c r="C26" s="186">
        <v>2</v>
      </c>
      <c r="G26" s="186" t="str">
        <f>"HC"&amp;Table2[[#This Row],[Hold Category]]&amp;"P"&amp;Table2[[#This Row],[Period]]&amp;"C"&amp;Table2[[#This Row],[Type (Line)]]</f>
        <v>HC2PC</v>
      </c>
      <c r="J26" s="198"/>
      <c r="K26" s="196"/>
      <c r="M26" s="198"/>
      <c r="Q26" s="198"/>
      <c r="T26" s="199"/>
      <c r="Y26" s="196"/>
      <c r="Z26" s="200" t="str">
        <f ca="1">IF(A26="","",IF(Table2[[#This Row],[Date closed]]="",(TODAY()-B26),(Y26-B26)))</f>
        <v/>
      </c>
      <c r="AA26" s="201" t="s">
        <v>36</v>
      </c>
    </row>
    <row r="27" spans="2:30" ht="67.900000000000006" customHeight="1" x14ac:dyDescent="0.35">
      <c r="B27" s="196"/>
      <c r="C27" s="186">
        <v>2</v>
      </c>
      <c r="G27" s="186" t="str">
        <f>"HC"&amp;Table2[[#This Row],[Hold Category]]&amp;"P"&amp;Table2[[#This Row],[Period]]&amp;"C"&amp;Table2[[#This Row],[Type (Line)]]</f>
        <v>HC2PC</v>
      </c>
      <c r="K27" s="196"/>
      <c r="M27" s="198"/>
      <c r="Q27" s="198"/>
      <c r="R27" s="198"/>
      <c r="T27" s="199"/>
      <c r="Y27" s="196"/>
      <c r="Z27" s="200" t="str">
        <f ca="1">IF(A27="","",IF(Table2[[#This Row],[Date closed]]="",(TODAY()-B27),(Y27-B27)))</f>
        <v/>
      </c>
      <c r="AA27" s="201" t="s">
        <v>36</v>
      </c>
      <c r="AB27" s="202"/>
    </row>
    <row r="28" spans="2:30" x14ac:dyDescent="0.35">
      <c r="B28" s="196"/>
      <c r="C28" s="186">
        <v>1</v>
      </c>
      <c r="G28" s="186" t="str">
        <f>"HC"&amp;Table2[[#This Row],[Hold Category]]&amp;"P"&amp;Table2[[#This Row],[Period]]&amp;"C"&amp;Table2[[#This Row],[Type (Line)]]</f>
        <v>HC1PC</v>
      </c>
      <c r="K28" s="196"/>
      <c r="M28" s="198"/>
      <c r="Q28" s="198"/>
      <c r="T28" s="199"/>
      <c r="Y28" s="196"/>
      <c r="Z28" s="200" t="str">
        <f ca="1">IF(A28="","",IF(Table2[[#This Row],[Date closed]]="",(TODAY()-B28),(Y28-B28)))</f>
        <v/>
      </c>
      <c r="AA28" s="201" t="s">
        <v>36</v>
      </c>
      <c r="AB28" s="202"/>
    </row>
    <row r="29" spans="2:30" x14ac:dyDescent="0.35">
      <c r="B29" s="196"/>
      <c r="C29" s="186">
        <v>2</v>
      </c>
      <c r="G29" s="186" t="str">
        <f>"HC"&amp;Table2[[#This Row],[Hold Category]]&amp;"P"&amp;Table2[[#This Row],[Period]]&amp;"C"&amp;Table2[[#This Row],[Type (Line)]]</f>
        <v>HC2PC</v>
      </c>
      <c r="J29" s="201"/>
      <c r="K29" s="196"/>
      <c r="M29" s="198"/>
      <c r="Q29" s="198"/>
      <c r="R29" s="198"/>
      <c r="T29" s="199"/>
      <c r="Y29" s="196"/>
      <c r="Z29" s="200" t="str">
        <f ca="1">IF(A29="","",IF(Table2[[#This Row],[Date closed]]="",(TODAY()-B29),(Y29-B29)))</f>
        <v/>
      </c>
      <c r="AA29" s="201" t="s">
        <v>36</v>
      </c>
    </row>
    <row r="30" spans="2:30" x14ac:dyDescent="0.35">
      <c r="B30" s="196"/>
      <c r="C30" s="186">
        <v>1</v>
      </c>
      <c r="G30" s="186" t="str">
        <f>"HC"&amp;Table2[[#This Row],[Hold Category]]&amp;"P"&amp;Table2[[#This Row],[Period]]&amp;"C"&amp;Table2[[#This Row],[Type (Line)]]</f>
        <v>HC1PC</v>
      </c>
      <c r="K30" s="196"/>
      <c r="M30" s="198"/>
      <c r="Q30" s="198"/>
      <c r="T30" s="199"/>
      <c r="Y30" s="196"/>
      <c r="Z30" s="200" t="str">
        <f ca="1">IF(A30="","",IF(Table2[[#This Row],[Date closed]]="",(TODAY()-B30),(Y30-B30)))</f>
        <v/>
      </c>
      <c r="AA30" s="201" t="s">
        <v>36</v>
      </c>
    </row>
    <row r="31" spans="2:30" x14ac:dyDescent="0.35">
      <c r="B31" s="196"/>
      <c r="C31" s="186">
        <v>1</v>
      </c>
      <c r="G31" s="186" t="str">
        <f>"HC"&amp;Table2[[#This Row],[Hold Category]]&amp;"P"&amp;Table2[[#This Row],[Period]]&amp;"C"&amp;Table2[[#This Row],[Type (Line)]]</f>
        <v>HC1PC</v>
      </c>
      <c r="I31" s="186" t="str">
        <f>IF(Table2[[#This Row],[Product Code]]="","",VLOOKUP(Table2[[#This Row],[Product Code]],'[5]Product List'!A:B,2,FALSE))</f>
        <v/>
      </c>
      <c r="K31" s="196"/>
      <c r="M31" s="198"/>
      <c r="Q31" s="198"/>
      <c r="T31" s="199"/>
      <c r="Y31" s="196"/>
      <c r="Z31" s="200" t="str">
        <f ca="1">IF(A31="","",IF(Table2[[#This Row],[Date closed]]="",(TODAY()-B31),(Y31-B31)))</f>
        <v/>
      </c>
      <c r="AA31" s="201" t="s">
        <v>36</v>
      </c>
      <c r="AB31" s="202"/>
    </row>
    <row r="32" spans="2:30" x14ac:dyDescent="0.25">
      <c r="B32" s="196"/>
      <c r="C32" s="186">
        <v>2</v>
      </c>
      <c r="G32" s="186" t="str">
        <f>"HC"&amp;Table2[[#This Row],[Hold Category]]&amp;"P"&amp;Table2[[#This Row],[Period]]&amp;"C"&amp;Table2[[#This Row],[Type (Line)]]</f>
        <v>HC2PC</v>
      </c>
      <c r="I32" s="186" t="str">
        <f>IF(Table2[[#This Row],[Product Code]]="","",VLOOKUP(Table2[[#This Row],[Product Code]],'[5]Product List'!A:B,2,FALSE))</f>
        <v/>
      </c>
      <c r="J32" s="208"/>
      <c r="K32" s="196"/>
      <c r="M32" s="198"/>
      <c r="T32" s="199"/>
      <c r="Y32" s="196"/>
      <c r="Z32" s="200" t="str">
        <f ca="1">IF(A32="","",IF(Table2[[#This Row],[Date closed]]="",(TODAY()-B32),(Y32-B32)))</f>
        <v/>
      </c>
      <c r="AA32" s="201" t="s">
        <v>36</v>
      </c>
      <c r="AB32" s="204"/>
    </row>
    <row r="33" spans="2:28" ht="78" customHeight="1" x14ac:dyDescent="0.25">
      <c r="B33" s="196"/>
      <c r="C33" s="186">
        <v>1</v>
      </c>
      <c r="G33" s="186">
        <v>10050223</v>
      </c>
      <c r="I33" s="186" t="str">
        <f>IF(Table2[[#This Row],[Product Code]]="","",VLOOKUP(Table2[[#This Row],[Product Code]],'[5]Product List'!A:B,2,FALSE))</f>
        <v/>
      </c>
      <c r="J33" s="208"/>
      <c r="K33" s="196"/>
      <c r="Q33" s="198"/>
      <c r="R33" s="198"/>
      <c r="T33" s="199"/>
      <c r="Y33" s="196"/>
      <c r="Z33" s="200" t="str">
        <f ca="1">IF(A33="","",IF(Table2[[#This Row],[Date closed]]="",(TODAY()-B33),(Y33-B33)))</f>
        <v/>
      </c>
      <c r="AA33" s="201" t="s">
        <v>36</v>
      </c>
      <c r="AB33" s="204"/>
    </row>
    <row r="34" spans="2:28" ht="124.5" customHeight="1" x14ac:dyDescent="0.35">
      <c r="B34" s="196"/>
      <c r="C34" s="186">
        <v>2</v>
      </c>
      <c r="G34" s="186" t="str">
        <f>"HC"&amp;Table2[[#This Row],[Hold Category]]&amp;"P"&amp;Table2[[#This Row],[Period]]&amp;"C"&amp;Table2[[#This Row],[Type (Line)]]</f>
        <v>HC2PC</v>
      </c>
      <c r="K34" s="196"/>
      <c r="M34" s="198"/>
      <c r="Q34" s="198"/>
      <c r="R34" s="198"/>
      <c r="T34" s="199"/>
      <c r="Y34" s="196"/>
      <c r="Z34" s="200" t="str">
        <f ca="1">IF(A34="","",IF(Table2[[#This Row],[Date closed]]="",(TODAY()-B34),(Y34-B34)))</f>
        <v/>
      </c>
      <c r="AA34" s="201" t="s">
        <v>36</v>
      </c>
      <c r="AB34" s="202"/>
    </row>
    <row r="35" spans="2:28" ht="71.25" customHeight="1" x14ac:dyDescent="0.35">
      <c r="B35" s="196"/>
      <c r="C35" s="186">
        <v>1</v>
      </c>
      <c r="G35" s="186" t="str">
        <f>"HC"&amp;Table2[[#This Row],[Hold Category]]&amp;"P"&amp;Table2[[#This Row],[Period]]&amp;"C"&amp;Table2[[#This Row],[Type (Line)]]</f>
        <v>HC1PC</v>
      </c>
      <c r="K35" s="196"/>
      <c r="M35" s="198"/>
      <c r="Q35" s="198"/>
      <c r="R35" s="198"/>
      <c r="T35" s="199"/>
      <c r="Y35" s="196"/>
      <c r="Z35" s="200" t="str">
        <f ca="1">IF(A35="","",IF(Table2[[#This Row],[Date closed]]="",(TODAY()-B35),(Y35-B35)))</f>
        <v/>
      </c>
      <c r="AA35" s="201" t="s">
        <v>36</v>
      </c>
      <c r="AB35" s="204"/>
    </row>
    <row r="36" spans="2:28" ht="72.75" customHeight="1" x14ac:dyDescent="0.35">
      <c r="B36" s="196"/>
      <c r="C36" s="186">
        <v>2</v>
      </c>
      <c r="G36" s="186" t="str">
        <f>"HC"&amp;Table2[[#This Row],[Hold Category]]&amp;"P"&amp;Table2[[#This Row],[Period]]&amp;"C"&amp;Table2[[#This Row],[Type (Line)]]</f>
        <v>HC2PC</v>
      </c>
      <c r="K36" s="196"/>
      <c r="M36" s="198"/>
      <c r="Q36" s="198"/>
      <c r="T36" s="199"/>
      <c r="Y36" s="196"/>
      <c r="Z36" s="200" t="str">
        <f ca="1">IF(A36="","",IF(Table2[[#This Row],[Date closed]]="",(TODAY()-B36),(Y36-B36)))</f>
        <v/>
      </c>
      <c r="AA36" s="201" t="s">
        <v>36</v>
      </c>
    </row>
    <row r="37" spans="2:28" ht="75" customHeight="1" x14ac:dyDescent="0.35">
      <c r="B37" s="196"/>
      <c r="C37" s="186">
        <v>2</v>
      </c>
      <c r="G37" s="186" t="str">
        <f>"HC"&amp;Table2[[#This Row],[Hold Category]]&amp;"P"&amp;Table2[[#This Row],[Period]]&amp;"C"&amp;Table2[[#This Row],[Type (Line)]]</f>
        <v>HC2PC</v>
      </c>
      <c r="K37" s="196"/>
      <c r="M37" s="198"/>
      <c r="Q37" s="198"/>
      <c r="R37" s="198"/>
      <c r="T37" s="199"/>
      <c r="Y37" s="199"/>
      <c r="Z37" s="200" t="str">
        <f ca="1">IF(A37="","",IF(Table2[[#This Row],[Date closed]]="",(TODAY()-B37),(Y37-B37)))</f>
        <v/>
      </c>
      <c r="AA37" s="201" t="s">
        <v>36</v>
      </c>
    </row>
    <row r="38" spans="2:28" ht="86.25" customHeight="1" x14ac:dyDescent="0.35">
      <c r="B38" s="196"/>
      <c r="C38" s="186">
        <v>1</v>
      </c>
      <c r="G38" s="186" t="str">
        <f>"HC"&amp;Table2[[#This Row],[Hold Category]]&amp;"P"&amp;Table2[[#This Row],[Period]]&amp;"C"&amp;Table2[[#This Row],[Type (Line)]]</f>
        <v>HC1PC</v>
      </c>
      <c r="K38" s="196"/>
      <c r="M38" s="198"/>
      <c r="Q38" s="198"/>
      <c r="R38" s="198"/>
      <c r="T38" s="199"/>
      <c r="Y38" s="196"/>
      <c r="Z38" s="200" t="str">
        <f ca="1">IF(A38="","",IF(Table2[[#This Row],[Date closed]]="",(TODAY()-B38),(Y38-B38)))</f>
        <v/>
      </c>
      <c r="AA38" s="201" t="s">
        <v>36</v>
      </c>
    </row>
    <row r="39" spans="2:28" ht="72.75" customHeight="1" x14ac:dyDescent="0.35">
      <c r="B39" s="196"/>
      <c r="C39" s="186">
        <v>1</v>
      </c>
      <c r="G39" s="186" t="str">
        <f>"HC"&amp;Table2[[#This Row],[Hold Category]]&amp;"P"&amp;Table2[[#This Row],[Period]]&amp;"C"&amp;Table2[[#This Row],[Type (Line)]]</f>
        <v>HC1PC</v>
      </c>
      <c r="K39" s="196"/>
      <c r="M39" s="198"/>
      <c r="Q39" s="198"/>
      <c r="R39" s="198"/>
      <c r="T39" s="199"/>
      <c r="Y39" s="196"/>
      <c r="Z39" s="200" t="str">
        <f ca="1">IF(A39="","",IF(Table2[[#This Row],[Date closed]]="",(TODAY()-B39),(Y39-B39)))</f>
        <v/>
      </c>
      <c r="AA39" s="201" t="s">
        <v>36</v>
      </c>
    </row>
    <row r="40" spans="2:28" ht="87.75" customHeight="1" x14ac:dyDescent="0.35">
      <c r="B40" s="196"/>
      <c r="C40" s="186">
        <v>1</v>
      </c>
      <c r="G40" s="186" t="str">
        <f>"HC"&amp;Table2[[#This Row],[Hold Category]]&amp;"P"&amp;Table2[[#This Row],[Period]]&amp;"C"&amp;Table2[[#This Row],[Type (Line)]]</f>
        <v>HC1PC</v>
      </c>
      <c r="K40" s="196"/>
      <c r="M40" s="198"/>
      <c r="Q40" s="198"/>
      <c r="R40" s="198"/>
      <c r="T40" s="199"/>
      <c r="Y40" s="196"/>
      <c r="Z40" s="200" t="str">
        <f ca="1">IF(A40="","",IF(Table2[[#This Row],[Date closed]]="",(TODAY()-B40),(Y40-B40)))</f>
        <v/>
      </c>
      <c r="AA40" s="201" t="s">
        <v>36</v>
      </c>
      <c r="AB40" s="202"/>
    </row>
    <row r="41" spans="2:28" ht="92.25" customHeight="1" x14ac:dyDescent="0.35">
      <c r="B41" s="209"/>
      <c r="C41" s="186">
        <v>1</v>
      </c>
      <c r="G41" s="186" t="str">
        <f>"HC"&amp;Table2[[#This Row],[Hold Category]]&amp;"P"&amp;Table2[[#This Row],[Period]]&amp;"C"&amp;Table2[[#This Row],[Type (Line)]]</f>
        <v>HC1PC</v>
      </c>
      <c r="K41" s="196"/>
      <c r="M41" s="198"/>
      <c r="Q41" s="198"/>
      <c r="R41" s="198"/>
      <c r="T41" s="199"/>
      <c r="Y41" s="196"/>
      <c r="Z41" s="200" t="str">
        <f ca="1">IF(A41="","",IF(Table2[[#This Row],[Date closed]]="",(TODAY()-B41),(Y41-B41)))</f>
        <v/>
      </c>
      <c r="AA41" s="201" t="s">
        <v>36</v>
      </c>
      <c r="AB41" s="204"/>
    </row>
    <row r="42" spans="2:28" ht="80.25" customHeight="1" x14ac:dyDescent="0.35">
      <c r="B42" s="196"/>
      <c r="C42" s="186">
        <v>1</v>
      </c>
      <c r="G42" s="186" t="str">
        <f>"HC"&amp;Table2[[#This Row],[Hold Category]]&amp;"P"&amp;Table2[[#This Row],[Period]]&amp;"C"&amp;Table2[[#This Row],[Type (Line)]]</f>
        <v>HC1PC</v>
      </c>
      <c r="J42" s="210"/>
      <c r="K42" s="196"/>
      <c r="M42" s="198"/>
      <c r="Q42" s="198"/>
      <c r="T42" s="199"/>
      <c r="Y42" s="196"/>
      <c r="Z42" s="200" t="str">
        <f ca="1">IF(A42="","",IF(Table2[[#This Row],[Date closed]]="",(TODAY()-B42),(Y42-B42)))</f>
        <v/>
      </c>
      <c r="AA42" s="201" t="s">
        <v>36</v>
      </c>
    </row>
    <row r="43" spans="2:28" ht="82.5" customHeight="1" x14ac:dyDescent="0.35">
      <c r="B43" s="196"/>
      <c r="C43" s="186">
        <v>2</v>
      </c>
      <c r="G43" s="186" t="str">
        <f>"HC"&amp;Table2[[#This Row],[Hold Category]]&amp;"P"&amp;Table2[[#This Row],[Period]]&amp;"C"&amp;Table2[[#This Row],[Type (Line)]]</f>
        <v>HC2PC</v>
      </c>
      <c r="K43" s="196"/>
      <c r="M43" s="198"/>
      <c r="Q43" s="198"/>
      <c r="T43" s="199"/>
      <c r="Y43" s="196"/>
      <c r="Z43" s="200" t="str">
        <f ca="1">IF(A43="","",IF(Table2[[#This Row],[Date closed]]="",(TODAY()-B43),(Y43-B43)))</f>
        <v/>
      </c>
      <c r="AA43" s="201" t="s">
        <v>36</v>
      </c>
      <c r="AB43" s="202"/>
    </row>
    <row r="44" spans="2:28" ht="75" customHeight="1" x14ac:dyDescent="0.35">
      <c r="B44" s="196"/>
      <c r="C44" s="186">
        <v>1</v>
      </c>
      <c r="G44" s="186" t="str">
        <f>"HC"&amp;Table2[[#This Row],[Hold Category]]&amp;"P"&amp;Table2[[#This Row],[Period]]&amp;"C"&amp;Table2[[#This Row],[Type (Line)]]</f>
        <v>HC1PC</v>
      </c>
      <c r="K44" s="196"/>
      <c r="M44" s="198"/>
      <c r="T44" s="199"/>
      <c r="Y44" s="196"/>
      <c r="Z44" s="200" t="str">
        <f ca="1">IF(A44="","",IF(Table2[[#This Row],[Date closed]]="",(TODAY()-B44),(Y44-B44)))</f>
        <v/>
      </c>
      <c r="AA44" s="201" t="s">
        <v>36</v>
      </c>
    </row>
    <row r="45" spans="2:28" ht="91.5" customHeight="1" x14ac:dyDescent="0.35">
      <c r="B45" s="196"/>
      <c r="C45" s="186">
        <v>2</v>
      </c>
      <c r="G45" s="186" t="str">
        <f>"HC"&amp;Table2[[#This Row],[Hold Category]]&amp;"P"&amp;Table2[[#This Row],[Period]]&amp;"C"&amp;Table2[[#This Row],[Type (Line)]]</f>
        <v>HC2PC</v>
      </c>
      <c r="K45" s="196"/>
      <c r="M45" s="198"/>
      <c r="T45" s="199"/>
      <c r="Y45" s="196"/>
      <c r="Z45" s="200" t="str">
        <f ca="1">IF(A45="","",IF(Table2[[#This Row],[Date closed]]="",(TODAY()-B45),(Y45-B45)))</f>
        <v/>
      </c>
      <c r="AA45" s="201" t="s">
        <v>36</v>
      </c>
    </row>
    <row r="46" spans="2:28" ht="102.75" customHeight="1" x14ac:dyDescent="0.35">
      <c r="B46" s="196"/>
      <c r="C46" s="186">
        <v>2</v>
      </c>
      <c r="K46" s="196"/>
      <c r="M46" s="198"/>
      <c r="T46" s="199"/>
      <c r="Y46" s="196"/>
      <c r="Z46" s="200" t="str">
        <f ca="1">IF(A46="","",IF(Table2[[#This Row],[Date closed]]="",(TODAY()-B46),(Y46-B46)))</f>
        <v/>
      </c>
      <c r="AA46" s="201" t="s">
        <v>36</v>
      </c>
    </row>
    <row r="47" spans="2:28" ht="78.75" customHeight="1" x14ac:dyDescent="0.35">
      <c r="B47" s="196"/>
      <c r="C47" s="186">
        <v>2</v>
      </c>
      <c r="K47" s="196"/>
      <c r="M47" s="198"/>
      <c r="T47" s="199"/>
      <c r="Y47" s="196"/>
      <c r="Z47" s="200" t="str">
        <f ca="1">IF(A47="","",IF(Table2[[#This Row],[Date closed]]="",(TODAY()-B47),(Y47-B47)))</f>
        <v/>
      </c>
      <c r="AA47" s="201" t="s">
        <v>36</v>
      </c>
      <c r="AB47" s="202"/>
    </row>
    <row r="48" spans="2:28" ht="77.25" customHeight="1" x14ac:dyDescent="0.35">
      <c r="B48" s="196"/>
      <c r="C48" s="186">
        <v>2</v>
      </c>
      <c r="K48" s="196"/>
      <c r="M48" s="198"/>
      <c r="T48" s="199"/>
      <c r="Y48" s="196"/>
      <c r="Z48" s="200" t="str">
        <f ca="1">IF(A48="","",IF(Table2[[#This Row],[Date closed]]="",(TODAY()-B48),(Y48-B48)))</f>
        <v/>
      </c>
      <c r="AA48" s="201" t="s">
        <v>36</v>
      </c>
      <c r="AB48" s="202"/>
    </row>
    <row r="49" spans="2:28" ht="86.25" customHeight="1" x14ac:dyDescent="0.35">
      <c r="B49" s="196"/>
      <c r="C49" s="186">
        <v>2</v>
      </c>
      <c r="I49" s="186" t="str">
        <f>IF(Table2[[#This Row],[Product Code]]="","",VLOOKUP(Table2[[#This Row],[Product Code]],'[5]Product List'!A:B,2,FALSE))</f>
        <v/>
      </c>
      <c r="K49" s="196"/>
      <c r="M49" s="198"/>
      <c r="Q49" s="198"/>
      <c r="T49" s="199"/>
      <c r="Y49" s="196"/>
      <c r="Z49" s="200" t="str">
        <f ca="1">IF(A49="","",IF(Table2[[#This Row],[Date closed]]="",(TODAY()-B49),(Y49-B49)))</f>
        <v/>
      </c>
      <c r="AA49" s="201" t="s">
        <v>36</v>
      </c>
      <c r="AB49" s="204"/>
    </row>
    <row r="50" spans="2:28" ht="77.25" customHeight="1" x14ac:dyDescent="0.35">
      <c r="B50" s="196"/>
      <c r="C50" s="186">
        <v>2</v>
      </c>
      <c r="K50" s="196"/>
      <c r="M50" s="198"/>
      <c r="Q50" s="198"/>
      <c r="T50" s="199"/>
      <c r="Y50" s="196"/>
      <c r="Z50" s="200" t="str">
        <f ca="1">IF(A50="","",IF(Table2[[#This Row],[Date closed]]="",(TODAY()-B50),(Y50-B50)))</f>
        <v/>
      </c>
      <c r="AA50" s="201" t="s">
        <v>36</v>
      </c>
    </row>
    <row r="51" spans="2:28" ht="73.5" customHeight="1" x14ac:dyDescent="0.35">
      <c r="B51" s="196"/>
      <c r="C51" s="186">
        <v>1</v>
      </c>
      <c r="K51" s="196"/>
      <c r="M51" s="198"/>
      <c r="Q51" s="198"/>
      <c r="T51" s="199"/>
      <c r="Y51" s="196"/>
      <c r="Z51" s="200" t="str">
        <f ca="1">IF(A51="","",IF(Table2[[#This Row],[Date closed]]="",(TODAY()-B51),(Y51-B51)))</f>
        <v/>
      </c>
      <c r="AA51" s="201" t="s">
        <v>36</v>
      </c>
      <c r="AB51" s="204"/>
    </row>
    <row r="52" spans="2:28" ht="72.75" customHeight="1" x14ac:dyDescent="0.35">
      <c r="B52" s="196"/>
      <c r="C52" s="186">
        <v>1</v>
      </c>
      <c r="K52" s="196"/>
      <c r="M52" s="198"/>
      <c r="Q52" s="198"/>
      <c r="R52" s="198"/>
      <c r="T52" s="199"/>
      <c r="Y52" s="196"/>
      <c r="Z52" s="200" t="str">
        <f ca="1">IF(A52="","",IF(Table2[[#This Row],[Date closed]]="",(TODAY()-B52),(Y52-B52)))</f>
        <v/>
      </c>
      <c r="AA52" s="201" t="s">
        <v>36</v>
      </c>
    </row>
    <row r="53" spans="2:28" ht="80.25" customHeight="1" x14ac:dyDescent="0.35">
      <c r="B53" s="196"/>
      <c r="C53" s="186">
        <v>1</v>
      </c>
      <c r="K53" s="196"/>
      <c r="M53" s="198"/>
      <c r="Q53" s="198"/>
      <c r="R53" s="198"/>
      <c r="T53" s="199"/>
      <c r="Y53" s="196"/>
      <c r="Z53" s="200" t="str">
        <f ca="1">IF(A53="","",IF(Table2[[#This Row],[Date closed]]="",(TODAY()-B53),(Y53-B53)))</f>
        <v/>
      </c>
      <c r="AA53" s="201" t="s">
        <v>36</v>
      </c>
    </row>
    <row r="54" spans="2:28" ht="69.75" customHeight="1" x14ac:dyDescent="0.35">
      <c r="B54" s="196"/>
      <c r="C54" s="186">
        <v>1</v>
      </c>
      <c r="K54" s="196"/>
      <c r="M54" s="198"/>
      <c r="Q54" s="198"/>
      <c r="T54" s="199"/>
      <c r="Y54" s="196"/>
      <c r="Z54" s="200" t="str">
        <f ca="1">IF(A54="","",IF(Table2[[#This Row],[Date closed]]="",(TODAY()-B54),(Y54-B54)))</f>
        <v/>
      </c>
      <c r="AA54" s="201" t="s">
        <v>36</v>
      </c>
    </row>
    <row r="55" spans="2:28" ht="76.5" customHeight="1" x14ac:dyDescent="0.35">
      <c r="B55" s="196"/>
      <c r="C55" s="186">
        <v>2</v>
      </c>
      <c r="I55" s="186" t="str">
        <f>IF(Table2[[#This Row],[Product Code]]="","",VLOOKUP(Table2[[#This Row],[Product Code]],'[5]Product List'!A:B,2,FALSE))</f>
        <v/>
      </c>
      <c r="K55" s="196"/>
      <c r="M55" s="198"/>
      <c r="Q55" s="198"/>
      <c r="T55" s="199"/>
      <c r="Y55" s="196"/>
      <c r="Z55" s="200" t="str">
        <f ca="1">IF(A55="","",IF(Table2[[#This Row],[Date closed]]="",(TODAY()-B55),(Y55-B55)))</f>
        <v/>
      </c>
      <c r="AA55" s="201" t="s">
        <v>36</v>
      </c>
      <c r="AB55" s="202"/>
    </row>
    <row r="56" spans="2:28" ht="77.25" customHeight="1" x14ac:dyDescent="0.35">
      <c r="B56" s="196"/>
      <c r="K56" s="196"/>
      <c r="M56" s="198"/>
      <c r="Q56" s="198"/>
      <c r="R56" s="198"/>
      <c r="T56" s="199"/>
      <c r="Y56" s="196"/>
      <c r="Z56" s="200" t="str">
        <f ca="1">IF(A56="","",IF(Table2[[#This Row],[Date closed]]="",(TODAY()-B56),(Y56-B56)))</f>
        <v/>
      </c>
      <c r="AA56" s="201" t="s">
        <v>36</v>
      </c>
    </row>
    <row r="57" spans="2:28" ht="77.25" customHeight="1" x14ac:dyDescent="0.35">
      <c r="B57" s="196"/>
      <c r="I57" s="186" t="str">
        <f>IF(Table2[[#This Row],[Product Code]]="","",VLOOKUP(Table2[[#This Row],[Product Code]],'[5]Product List'!A:B,2,FALSE))</f>
        <v/>
      </c>
      <c r="K57" s="196"/>
      <c r="M57" s="198"/>
      <c r="Q57" s="198"/>
      <c r="R57" s="198"/>
      <c r="T57" s="199"/>
      <c r="Y57" s="196"/>
      <c r="Z57" s="200" t="str">
        <f ca="1">IF(A57="","",IF(Table2[[#This Row],[Date closed]]="",(TODAY()-B57),(Y57-B57)))</f>
        <v/>
      </c>
      <c r="AA57" s="201" t="s">
        <v>36</v>
      </c>
      <c r="AB57" s="202"/>
    </row>
    <row r="58" spans="2:28" ht="80.25" customHeight="1" x14ac:dyDescent="0.35">
      <c r="B58" s="196"/>
      <c r="K58" s="196"/>
      <c r="M58" s="198"/>
      <c r="Q58" s="198"/>
      <c r="R58" s="198"/>
      <c r="T58" s="199"/>
      <c r="Y58" s="196"/>
      <c r="Z58" s="200" t="str">
        <f ca="1">IF(A58="","",IF(Table2[[#This Row],[Date closed]]="",(TODAY()-B58),(Y58-B58)))</f>
        <v/>
      </c>
      <c r="AA58" s="201" t="s">
        <v>36</v>
      </c>
    </row>
    <row r="59" spans="2:28" ht="81" customHeight="1" x14ac:dyDescent="0.35">
      <c r="B59" s="196"/>
      <c r="I59" s="186" t="str">
        <f>IF(Table2[[#This Row],[Product Code]]="","",VLOOKUP(Table2[[#This Row],[Product Code]],'[5]Product List'!A:B,2,FALSE))</f>
        <v/>
      </c>
      <c r="K59" s="196"/>
      <c r="M59" s="198"/>
      <c r="Q59" s="198"/>
      <c r="T59" s="199"/>
      <c r="Y59" s="196"/>
      <c r="Z59" s="200" t="str">
        <f ca="1">IF(A59="","",IF(Table2[[#This Row],[Date closed]]="",(TODAY()-B59),(Y59-B59)))</f>
        <v/>
      </c>
      <c r="AA59" s="201" t="s">
        <v>36</v>
      </c>
    </row>
    <row r="60" spans="2:28" ht="82.5" customHeight="1" x14ac:dyDescent="0.35">
      <c r="B60" s="196"/>
      <c r="I60" s="186" t="str">
        <f>IF(Table2[[#This Row],[Product Code]]="","",VLOOKUP(Table2[[#This Row],[Product Code]],'[5]Product List'!A:B,2,FALSE))</f>
        <v/>
      </c>
      <c r="K60" s="196"/>
      <c r="M60" s="197"/>
      <c r="Q60" s="198"/>
      <c r="T60" s="199"/>
      <c r="Y60" s="196"/>
      <c r="Z60" s="200" t="str">
        <f ca="1">IF(A60="","",IF(Table2[[#This Row],[Date closed]]="",(TODAY()-B60),(Y60-B60)))</f>
        <v/>
      </c>
      <c r="AA60" s="201" t="s">
        <v>36</v>
      </c>
    </row>
    <row r="61" spans="2:28" ht="75" customHeight="1" x14ac:dyDescent="0.35">
      <c r="B61" s="196"/>
      <c r="I61" s="186" t="str">
        <f>IF(Table2[[#This Row],[Product Code]]="","",VLOOKUP(Table2[[#This Row],[Product Code]],'[5]Product List'!A:B,2,FALSE))</f>
        <v/>
      </c>
      <c r="K61" s="196"/>
      <c r="M61" s="198"/>
      <c r="T61" s="199"/>
      <c r="Y61" s="196"/>
      <c r="Z61" s="200" t="str">
        <f ca="1">IF(A61="","",IF(Table2[[#This Row],[Date closed]]="",(TODAY()-B61),(Y61-B61)))</f>
        <v/>
      </c>
      <c r="AA61" s="201" t="s">
        <v>36</v>
      </c>
      <c r="AB61" s="204"/>
    </row>
    <row r="62" spans="2:28" ht="75" customHeight="1" x14ac:dyDescent="0.35">
      <c r="B62" s="196"/>
      <c r="I62" s="186" t="str">
        <f>IF(Table2[[#This Row],[Product Code]]="","",VLOOKUP(Table2[[#This Row],[Product Code]],'[5]Product List'!A:B,2,FALSE))</f>
        <v/>
      </c>
      <c r="K62" s="196"/>
      <c r="M62" s="198"/>
      <c r="Q62" s="198"/>
      <c r="T62" s="199"/>
      <c r="Y62" s="196"/>
      <c r="Z62" s="200" t="str">
        <f ca="1">IF(A62="","",IF(Table2[[#This Row],[Date closed]]="",(TODAY()-B62),(Y62-B62)))</f>
        <v/>
      </c>
      <c r="AA62" s="201" t="s">
        <v>36</v>
      </c>
      <c r="AB62" s="202"/>
    </row>
    <row r="63" spans="2:28" ht="73.5" customHeight="1" x14ac:dyDescent="0.35">
      <c r="B63" s="196"/>
      <c r="I63" s="186" t="str">
        <f>IF(Table2[[#This Row],[Product Code]]="","",VLOOKUP(Table2[[#This Row],[Product Code]],'[5]Product List'!A:B,2,FALSE))</f>
        <v/>
      </c>
      <c r="K63" s="196"/>
      <c r="M63" s="197"/>
      <c r="Q63" s="198"/>
      <c r="T63" s="199"/>
      <c r="Y63" s="196"/>
      <c r="Z63" s="200" t="str">
        <f ca="1">IF(A63="","",IF(Table2[[#This Row],[Date closed]]="",(TODAY()-B63),(Y63-B63)))</f>
        <v/>
      </c>
      <c r="AA63" s="201" t="s">
        <v>36</v>
      </c>
      <c r="AB63" s="202"/>
    </row>
    <row r="64" spans="2:28" ht="75" customHeight="1" x14ac:dyDescent="0.35">
      <c r="B64" s="196"/>
      <c r="I64" s="186" t="str">
        <f>IF(Table2[[#This Row],[Product Code]]="","",VLOOKUP(Table2[[#This Row],[Product Code]],'[5]Product List'!A:B,2,FALSE))</f>
        <v/>
      </c>
      <c r="K64" s="196"/>
      <c r="M64" s="197"/>
      <c r="Q64" s="198"/>
      <c r="T64" s="199"/>
      <c r="Y64" s="196"/>
      <c r="Z64" s="200" t="str">
        <f ca="1">IF(A64="","",IF(Table2[[#This Row],[Date closed]]="",(TODAY()-B64),(Y64-B64)))</f>
        <v/>
      </c>
      <c r="AA64" s="201" t="s">
        <v>36</v>
      </c>
    </row>
    <row r="65" spans="2:28" ht="78.75" customHeight="1" x14ac:dyDescent="0.35">
      <c r="B65" s="196"/>
      <c r="K65" s="196"/>
      <c r="M65" s="197"/>
      <c r="Q65" s="198"/>
      <c r="T65" s="199"/>
      <c r="Y65" s="196"/>
      <c r="Z65" s="200" t="str">
        <f ca="1">IF(A65="","",IF(Table2[[#This Row],[Date closed]]="",(TODAY()-B65),(Y65-B65)))</f>
        <v/>
      </c>
      <c r="AA65" s="201" t="s">
        <v>36</v>
      </c>
    </row>
    <row r="66" spans="2:28" ht="62.25" customHeight="1" x14ac:dyDescent="0.35">
      <c r="B66" s="196"/>
      <c r="K66" s="196"/>
      <c r="M66" s="197"/>
      <c r="Q66" s="198"/>
      <c r="R66" s="198"/>
      <c r="T66" s="199"/>
      <c r="Y66" s="196"/>
      <c r="Z66" s="200" t="str">
        <f ca="1">IF(A66="","",IF(Table2[[#This Row],[Date closed]]="",(TODAY()-B66),(Y66-B66)))</f>
        <v/>
      </c>
      <c r="AA66" s="201" t="s">
        <v>36</v>
      </c>
      <c r="AB66" s="204"/>
    </row>
    <row r="67" spans="2:28" hidden="1" x14ac:dyDescent="0.35"/>
    <row r="68" spans="2:28" ht="69.75" customHeight="1" x14ac:dyDescent="0.35">
      <c r="B68" s="196"/>
      <c r="J68" s="199"/>
      <c r="K68" s="196"/>
      <c r="M68" s="198"/>
      <c r="Q68" s="198"/>
      <c r="T68" s="199"/>
      <c r="Y68" s="196"/>
      <c r="Z68" s="200" t="str">
        <f ca="1">IF(A68="","",IF(Table2[[#This Row],[Date closed]]="",(TODAY()-B68),(Y68-B68)))</f>
        <v/>
      </c>
      <c r="AA68" s="201" t="s">
        <v>35</v>
      </c>
      <c r="AB68" s="202"/>
    </row>
    <row r="69" spans="2:28" ht="69" customHeight="1" x14ac:dyDescent="0.35">
      <c r="B69" s="196"/>
      <c r="I69" s="186" t="str">
        <f>IF(Table2[[#This Row],[Product Code]]="","",VLOOKUP(Table2[[#This Row],[Product Code]],'[5]Product List'!A:B,2,FALSE))</f>
        <v/>
      </c>
      <c r="K69" s="196"/>
      <c r="M69" s="197"/>
      <c r="Q69" s="198"/>
      <c r="T69" s="199"/>
      <c r="Y69" s="196"/>
      <c r="Z69" s="200"/>
      <c r="AA69" s="201" t="s">
        <v>35</v>
      </c>
      <c r="AB69" s="204"/>
    </row>
    <row r="70" spans="2:28" ht="62.25" customHeight="1" x14ac:dyDescent="0.35">
      <c r="B70" s="196"/>
      <c r="I70" s="186" t="str">
        <f>IF(Table2[[#This Row],[Product Code]]="","",VLOOKUP(Table2[[#This Row],[Product Code]],'[5]Product List'!A:B,2,FALSE))</f>
        <v/>
      </c>
      <c r="K70" s="196"/>
      <c r="M70" s="198"/>
      <c r="Q70" s="198"/>
      <c r="R70" s="198"/>
      <c r="T70" s="199"/>
      <c r="Y70" s="196"/>
      <c r="Z70" s="200" t="str">
        <f ca="1">IF(A70="","",IF(Table2[[#This Row],[Date closed]]="",(TODAY()-B70),(Y70-B70)))</f>
        <v/>
      </c>
      <c r="AA70" s="201" t="s">
        <v>35</v>
      </c>
    </row>
    <row r="71" spans="2:28" hidden="1" x14ac:dyDescent="0.35"/>
    <row r="72" spans="2:28" hidden="1" x14ac:dyDescent="0.35"/>
    <row r="73" spans="2:28" hidden="1" x14ac:dyDescent="0.35"/>
    <row r="74" spans="2:28" ht="66" customHeight="1" x14ac:dyDescent="0.35">
      <c r="B74" s="196"/>
      <c r="K74" s="196"/>
      <c r="M74" s="198"/>
      <c r="Q74" s="198"/>
      <c r="T74" s="199"/>
      <c r="Y74" s="196"/>
      <c r="Z74" s="200" t="str">
        <f ca="1">IF(A74="","",IF(Table2[[#This Row],[Date closed]]="",(TODAY()-B74),(Y74-B74)))</f>
        <v/>
      </c>
      <c r="AA74" s="201" t="s">
        <v>35</v>
      </c>
      <c r="AB74" s="204"/>
    </row>
    <row r="75" spans="2:28" ht="69.75" hidden="1" customHeight="1" x14ac:dyDescent="0.35">
      <c r="B75" s="196"/>
      <c r="K75" s="196"/>
      <c r="M75" s="198"/>
      <c r="Q75" s="198"/>
      <c r="T75" s="199"/>
      <c r="Y75" s="196"/>
      <c r="Z75" s="200" t="str">
        <f ca="1">IF(A75="","",IF(Table2[[#This Row],[Date closed]]="",(TODAY()-B75),(Y75-B75)))</f>
        <v/>
      </c>
      <c r="AA75" s="201"/>
    </row>
    <row r="76" spans="2:28" ht="76.5" hidden="1" customHeight="1" x14ac:dyDescent="0.35">
      <c r="B76" s="196"/>
      <c r="K76" s="196"/>
      <c r="M76" s="198"/>
      <c r="Q76" s="198"/>
      <c r="T76" s="199"/>
      <c r="Y76" s="196"/>
      <c r="Z76" s="200" t="str">
        <f ca="1">IF(A76="","",IF(Table2[[#This Row],[Date closed]]="",(TODAY()-B76),(Y76-B76)))</f>
        <v/>
      </c>
      <c r="AA76" s="201"/>
    </row>
    <row r="77" spans="2:28" ht="69" hidden="1" customHeight="1" x14ac:dyDescent="0.35">
      <c r="B77" s="196"/>
      <c r="K77" s="196"/>
      <c r="M77" s="198"/>
      <c r="Q77" s="198"/>
      <c r="T77" s="199"/>
      <c r="Y77" s="196"/>
      <c r="Z77" s="200" t="str">
        <f ca="1">IF(A77="","",IF(Table2[[#This Row],[Date closed]]="",(TODAY()-B77),(Y77-B77)))</f>
        <v/>
      </c>
      <c r="AA77" s="201"/>
    </row>
    <row r="78" spans="2:28" ht="66" hidden="1" customHeight="1" x14ac:dyDescent="0.35">
      <c r="B78" s="196"/>
      <c r="K78" s="196"/>
      <c r="M78" s="198"/>
      <c r="T78" s="199"/>
      <c r="Y78" s="196"/>
      <c r="Z78" s="200" t="str">
        <f ca="1">IF(A78="","",IF(Table2[[#This Row],[Date closed]]="",(TODAY()-B78),(Y78-B78)))</f>
        <v/>
      </c>
      <c r="AA78" s="201"/>
    </row>
    <row r="79" spans="2:28" ht="69.75" hidden="1" customHeight="1" x14ac:dyDescent="0.35">
      <c r="B79" s="196"/>
      <c r="K79" s="196"/>
      <c r="M79" s="198"/>
      <c r="T79" s="199"/>
      <c r="Y79" s="196"/>
      <c r="Z79" s="200" t="str">
        <f ca="1">IF(A79="","",IF(Table2[[#This Row],[Date closed]]="",(TODAY()-B79),(Y79-B79)))</f>
        <v/>
      </c>
      <c r="AA79" s="201"/>
    </row>
    <row r="80" spans="2:28" ht="69.75" hidden="1" customHeight="1" x14ac:dyDescent="0.35">
      <c r="B80" s="196"/>
      <c r="K80" s="196"/>
      <c r="M80" s="198"/>
      <c r="T80" s="199"/>
      <c r="Y80" s="196"/>
      <c r="Z80" s="200" t="str">
        <f ca="1">IF(A80="","",IF(Table2[[#This Row],[Date closed]]="",(TODAY()-B80),(Y80-B80)))</f>
        <v/>
      </c>
      <c r="AA80" s="201"/>
    </row>
    <row r="81" spans="2:27" ht="72.75" hidden="1" customHeight="1" x14ac:dyDescent="0.35">
      <c r="B81" s="196"/>
      <c r="K81" s="196"/>
      <c r="M81" s="198"/>
      <c r="T81" s="199"/>
      <c r="Y81" s="196"/>
      <c r="Z81" s="200" t="str">
        <f ca="1">IF(A81="","",IF(Table2[[#This Row],[Date closed]]="",(TODAY()-B81),(Y81-B81)))</f>
        <v/>
      </c>
      <c r="AA81" s="201"/>
    </row>
    <row r="82" spans="2:27" ht="66" hidden="1" customHeight="1" x14ac:dyDescent="0.35">
      <c r="B82" s="196"/>
      <c r="K82" s="196"/>
      <c r="M82" s="198"/>
      <c r="T82" s="199"/>
      <c r="Y82" s="196"/>
      <c r="Z82" s="200" t="str">
        <f ca="1">IF(A82="","",IF(Table2[[#This Row],[Date closed]]="",(TODAY()-B82),(Y82-B82)))</f>
        <v/>
      </c>
      <c r="AA82" s="201"/>
    </row>
    <row r="83" spans="2:27" ht="52.5" hidden="1" customHeight="1" x14ac:dyDescent="0.35">
      <c r="B83" s="196"/>
      <c r="K83" s="196"/>
      <c r="M83" s="198"/>
      <c r="T83" s="199"/>
      <c r="Y83" s="196"/>
      <c r="Z83" s="200" t="str">
        <f ca="1">IF(A83="","",IF(Table2[[#This Row],[Date closed]]="",(TODAY()-B83),(Y83-B83)))</f>
        <v/>
      </c>
      <c r="AA83" s="201"/>
    </row>
    <row r="84" spans="2:27" ht="66" hidden="1" customHeight="1" x14ac:dyDescent="0.35">
      <c r="B84" s="196"/>
      <c r="K84" s="196"/>
      <c r="M84" s="198"/>
      <c r="T84" s="199"/>
      <c r="Y84" s="196"/>
      <c r="Z84" s="200" t="str">
        <f ca="1">IF(A84="","",IF(Table2[[#This Row],[Date closed]]="",(TODAY()-B84),(Y84-B84)))</f>
        <v/>
      </c>
      <c r="AA84" s="201"/>
    </row>
    <row r="85" spans="2:27" ht="77.25" hidden="1" customHeight="1" x14ac:dyDescent="0.35">
      <c r="B85" s="196"/>
      <c r="K85" s="196"/>
      <c r="M85" s="198"/>
      <c r="Q85" s="198"/>
      <c r="T85" s="199"/>
      <c r="Y85" s="199"/>
      <c r="Z85" s="200" t="str">
        <f ca="1">IF(A85="","",IF(Table2[[#This Row],[Date closed]]="",(TODAY()-B85),(Y85-B85)))</f>
        <v/>
      </c>
      <c r="AA85" s="201"/>
    </row>
    <row r="86" spans="2:27" ht="63.75" hidden="1" customHeight="1" x14ac:dyDescent="0.35">
      <c r="B86" s="196"/>
      <c r="K86" s="196"/>
      <c r="M86" s="198"/>
      <c r="Q86" s="198"/>
      <c r="T86" s="199"/>
      <c r="Y86" s="199"/>
      <c r="Z86" s="200" t="str">
        <f ca="1">IF(A86="","",IF(Table2[[#This Row],[Date closed]]="",(TODAY()-B86),(Y86-B86)))</f>
        <v/>
      </c>
      <c r="AA86" s="201"/>
    </row>
    <row r="87" spans="2:27" ht="51" hidden="1" customHeight="1" x14ac:dyDescent="0.35">
      <c r="B87" s="196"/>
      <c r="K87" s="196"/>
      <c r="M87" s="198"/>
      <c r="T87" s="199"/>
      <c r="Y87" s="196"/>
      <c r="Z87" s="200" t="str">
        <f ca="1">IF(A87="","",IF(Table2[[#This Row],[Date closed]]="",(TODAY()-B87),(Y87-B87)))</f>
        <v/>
      </c>
      <c r="AA87" s="201"/>
    </row>
    <row r="88" spans="2:27" ht="65.25" hidden="1" customHeight="1" x14ac:dyDescent="0.35">
      <c r="B88" s="196"/>
      <c r="K88" s="196"/>
      <c r="M88" s="198"/>
      <c r="T88" s="199"/>
      <c r="Y88" s="199"/>
      <c r="Z88" s="200" t="str">
        <f ca="1">IF(A88="","",IF(Table2[[#This Row],[Date closed]]="",(TODAY()-B88),(Y88-B88)))</f>
        <v/>
      </c>
      <c r="AA88" s="201"/>
    </row>
    <row r="89" spans="2:27" ht="69.75" hidden="1" customHeight="1" x14ac:dyDescent="0.35">
      <c r="B89" s="196"/>
      <c r="K89" s="196"/>
      <c r="M89" s="198"/>
      <c r="Q89" s="198"/>
      <c r="T89" s="199"/>
      <c r="Y89" s="199"/>
      <c r="Z89" s="200" t="str">
        <f ca="1">IF(A89="","",IF(Table2[[#This Row],[Date closed]]="",(TODAY()-B89),(Y89-B89)))</f>
        <v/>
      </c>
      <c r="AA89" s="201"/>
    </row>
    <row r="90" spans="2:27" ht="80.25" hidden="1" customHeight="1" x14ac:dyDescent="0.35">
      <c r="B90" s="196"/>
      <c r="K90" s="196"/>
      <c r="M90" s="198"/>
      <c r="Q90" s="198"/>
      <c r="T90" s="199"/>
      <c r="Y90" s="196"/>
      <c r="Z90" s="200" t="str">
        <f ca="1">IF(A90="","",IF(Table2[[#This Row],[Date closed]]="",(TODAY()-B90),(Y90-B90)))</f>
        <v/>
      </c>
      <c r="AA90" s="201"/>
    </row>
    <row r="91" spans="2:27" ht="72.75" hidden="1" customHeight="1" x14ac:dyDescent="0.35">
      <c r="B91" s="196"/>
      <c r="K91" s="196"/>
      <c r="M91" s="198"/>
      <c r="Q91" s="198"/>
      <c r="T91" s="199"/>
      <c r="Y91" s="196"/>
      <c r="Z91" s="200" t="str">
        <f ca="1">IF(A91="","",IF(Table2[[#This Row],[Date closed]]="",(TODAY()-B91),(Y91-B91)))</f>
        <v/>
      </c>
      <c r="AA91" s="201"/>
    </row>
    <row r="92" spans="2:27" ht="69" hidden="1" customHeight="1" x14ac:dyDescent="0.35">
      <c r="B92" s="196"/>
      <c r="K92" s="196"/>
      <c r="M92" s="198"/>
      <c r="Q92" s="198"/>
      <c r="T92" s="199"/>
      <c r="Y92" s="196"/>
      <c r="Z92" s="200" t="str">
        <f ca="1">IF(A92="","",IF(Table2[[#This Row],[Date closed]]="",(TODAY()-B92),(Y92-B92)))</f>
        <v/>
      </c>
      <c r="AA92" s="201"/>
    </row>
    <row r="93" spans="2:27" ht="62.25" hidden="1" customHeight="1" x14ac:dyDescent="0.35">
      <c r="B93" s="196"/>
      <c r="K93" s="196"/>
      <c r="M93" s="198"/>
      <c r="R93" s="198"/>
      <c r="T93" s="199"/>
      <c r="Y93" s="199"/>
      <c r="Z93" s="200" t="str">
        <f ca="1">IF(A93="","",IF(Table2[[#This Row],[Date closed]]="",(TODAY()-B93),(Y93-B93)))</f>
        <v/>
      </c>
      <c r="AA93" s="201"/>
    </row>
    <row r="94" spans="2:27" ht="63.75" hidden="1" customHeight="1" x14ac:dyDescent="0.35">
      <c r="B94" s="196"/>
      <c r="K94" s="196"/>
      <c r="M94" s="198"/>
      <c r="Q94" s="198"/>
      <c r="R94" s="198"/>
      <c r="T94" s="199"/>
      <c r="Y94" s="199"/>
      <c r="Z94" s="200" t="str">
        <f ca="1">IF(A94="","",IF(Table2[[#This Row],[Date closed]]="",(TODAY()-B94),(Y94-B94)))</f>
        <v/>
      </c>
      <c r="AA94" s="201"/>
    </row>
    <row r="95" spans="2:27" ht="69" hidden="1" customHeight="1" x14ac:dyDescent="0.35">
      <c r="B95" s="196"/>
      <c r="K95" s="196"/>
      <c r="M95" s="198"/>
      <c r="Q95" s="198"/>
      <c r="T95" s="199"/>
      <c r="Y95" s="196"/>
      <c r="Z95" s="200" t="str">
        <f ca="1">IF(A95="","",IF(Table2[[#This Row],[Date closed]]="",(TODAY()-B95),(Y95-B95)))</f>
        <v/>
      </c>
      <c r="AA95" s="201"/>
    </row>
    <row r="96" spans="2:27" ht="67.5" hidden="1" customHeight="1" x14ac:dyDescent="0.35">
      <c r="B96" s="196"/>
      <c r="K96" s="196"/>
      <c r="M96" s="198"/>
      <c r="Q96" s="198"/>
      <c r="T96" s="199"/>
      <c r="Y96" s="196"/>
      <c r="Z96" s="200" t="str">
        <f ca="1">IF(A96="","",IF(Table2[[#This Row],[Date closed]]="",(TODAY()-B96),(Y96-B96)))</f>
        <v/>
      </c>
      <c r="AA96" s="201"/>
    </row>
    <row r="97" spans="2:27" ht="77.25" hidden="1" customHeight="1" x14ac:dyDescent="0.35">
      <c r="B97" s="196"/>
      <c r="K97" s="201"/>
      <c r="M97" s="198"/>
      <c r="Q97" s="198"/>
      <c r="R97" s="198"/>
      <c r="T97" s="199"/>
      <c r="Y97" s="196"/>
      <c r="Z97" s="200" t="str">
        <f ca="1">IF(A97="","",IF(Table2[[#This Row],[Date closed]]="",(TODAY()-B97),(Y97-B97)))</f>
        <v/>
      </c>
      <c r="AA97" s="201"/>
    </row>
    <row r="98" spans="2:27" ht="69.75" hidden="1" customHeight="1" x14ac:dyDescent="0.35">
      <c r="B98" s="196"/>
      <c r="K98" s="196"/>
      <c r="M98" s="198"/>
      <c r="T98" s="199"/>
      <c r="Y98" s="196"/>
      <c r="Z98" s="200" t="str">
        <f ca="1">IF(A98="","",IF(Table2[[#This Row],[Date closed]]="",(TODAY()-B98),(Y98-B98)))</f>
        <v/>
      </c>
      <c r="AA98" s="201"/>
    </row>
    <row r="99" spans="2:27" ht="78.75" hidden="1" customHeight="1" x14ac:dyDescent="0.35">
      <c r="B99" s="196"/>
      <c r="K99" s="196"/>
      <c r="M99" s="198"/>
      <c r="T99" s="199"/>
      <c r="Y99" s="196"/>
      <c r="Z99" s="200" t="str">
        <f ca="1">IF(A99="","",IF(Table2[[#This Row],[Date closed]]="",(TODAY()-B99),(Y99-B99)))</f>
        <v/>
      </c>
      <c r="AA99" s="201"/>
    </row>
    <row r="100" spans="2:27" ht="77.25" hidden="1" customHeight="1" x14ac:dyDescent="0.35">
      <c r="B100" s="196"/>
      <c r="K100" s="196"/>
      <c r="M100" s="198"/>
      <c r="T100" s="199"/>
      <c r="Y100" s="196"/>
      <c r="Z100" s="200" t="str">
        <f ca="1">IF(A100="","",IF(Table2[[#This Row],[Date closed]]="",(TODAY()-B100),(Y100-B100)))</f>
        <v/>
      </c>
      <c r="AA100" s="201"/>
    </row>
    <row r="101" spans="2:27" ht="75" hidden="1" customHeight="1" x14ac:dyDescent="0.35">
      <c r="B101" s="196"/>
      <c r="K101" s="196"/>
      <c r="M101" s="198"/>
      <c r="T101" s="199"/>
      <c r="Y101" s="196"/>
      <c r="Z101" s="200" t="str">
        <f ca="1">IF(A101="","",IF(Table2[[#This Row],[Date closed]]="",(TODAY()-B101),(Y101-B101)))</f>
        <v/>
      </c>
      <c r="AA101" s="201"/>
    </row>
    <row r="102" spans="2:27" ht="82.5" hidden="1" customHeight="1" x14ac:dyDescent="0.35">
      <c r="B102" s="196"/>
      <c r="K102" s="196"/>
      <c r="M102" s="198"/>
      <c r="T102" s="199"/>
      <c r="Y102" s="196"/>
      <c r="Z102" s="200" t="str">
        <f ca="1">IF(A102="","",IF(Table2[[#This Row],[Date closed]]="",(TODAY()-B102),(Y102-B102)))</f>
        <v/>
      </c>
      <c r="AA102" s="201"/>
    </row>
    <row r="103" spans="2:27" ht="71.25" hidden="1" customHeight="1" x14ac:dyDescent="0.35">
      <c r="B103" s="196"/>
      <c r="K103" s="196"/>
      <c r="M103" s="198"/>
      <c r="Q103" s="198"/>
      <c r="T103" s="199"/>
      <c r="Y103" s="196"/>
      <c r="Z103" s="200" t="str">
        <f ca="1">IF(A103="","",IF(Table2[[#This Row],[Date closed]]="",(TODAY()-B103),(Y103-B103)))</f>
        <v/>
      </c>
      <c r="AA103" s="201"/>
    </row>
    <row r="104" spans="2:27" ht="69.75" hidden="1" customHeight="1" x14ac:dyDescent="0.35">
      <c r="B104" s="196"/>
      <c r="K104" s="196"/>
      <c r="M104" s="198"/>
      <c r="Q104" s="198"/>
      <c r="T104" s="199"/>
      <c r="Y104" s="196"/>
      <c r="Z104" s="200" t="str">
        <f ca="1">IF(A104="","",IF(Table2[[#This Row],[Date closed]]="",(TODAY()-B104),(Y104-B104)))</f>
        <v/>
      </c>
      <c r="AA104" s="201"/>
    </row>
    <row r="105" spans="2:27" ht="92.25" hidden="1" customHeight="1" x14ac:dyDescent="0.35">
      <c r="B105" s="196"/>
      <c r="K105" s="196"/>
      <c r="M105" s="198"/>
      <c r="T105" s="199"/>
      <c r="Y105" s="196"/>
      <c r="Z105" s="200" t="str">
        <f ca="1">IF(A105="","",IF(Table2[[#This Row],[Date closed]]="",(TODAY()-B105),(Y105-B105)))</f>
        <v/>
      </c>
      <c r="AA105" s="201"/>
    </row>
    <row r="106" spans="2:27" ht="78.75" hidden="1" customHeight="1" x14ac:dyDescent="0.35">
      <c r="B106" s="196"/>
      <c r="K106" s="196"/>
      <c r="M106" s="198"/>
      <c r="T106" s="199"/>
      <c r="Y106" s="196"/>
      <c r="Z106" s="200" t="str">
        <f ca="1">IF(A106="","",IF(Table2[[#This Row],[Date closed]]="",(TODAY()-B106),(Y106-B106)))</f>
        <v/>
      </c>
      <c r="AA106" s="201"/>
    </row>
    <row r="107" spans="2:27" ht="90" hidden="1" customHeight="1" x14ac:dyDescent="0.35">
      <c r="B107" s="196"/>
      <c r="K107" s="196"/>
      <c r="M107" s="198"/>
      <c r="Q107" s="198"/>
      <c r="T107" s="199"/>
      <c r="Y107" s="196"/>
      <c r="Z107" s="200" t="str">
        <f ca="1">IF(A107="","",IF(Table2[[#This Row],[Date closed]]="",(TODAY()-B107),(Y107-B107)))</f>
        <v/>
      </c>
      <c r="AA107" s="201"/>
    </row>
    <row r="108" spans="2:27" ht="73.5" hidden="1" customHeight="1" x14ac:dyDescent="0.35">
      <c r="B108" s="196"/>
      <c r="G108" s="186" t="str">
        <f>"HC"&amp;Table2[[#This Row],[Hold Category]]&amp;"P"&amp;Table2[[#This Row],[Period]]&amp;"C"&amp;Table2[[#This Row],[Type (Line)]]</f>
        <v>HCPC</v>
      </c>
      <c r="K108" s="196"/>
      <c r="M108" s="198"/>
      <c r="Q108" s="198"/>
      <c r="T108" s="199"/>
      <c r="Y108" s="196"/>
      <c r="Z108" s="200" t="str">
        <f ca="1">IF(A108="","",IF(Table2[[#This Row],[Date closed]]="",(TODAY()-B108),(Y108-B108)))</f>
        <v/>
      </c>
      <c r="AA108" s="201"/>
    </row>
    <row r="109" spans="2:27" ht="69" hidden="1" customHeight="1" x14ac:dyDescent="0.35">
      <c r="B109" s="196"/>
      <c r="G109" s="186" t="str">
        <f>"HC"&amp;Table2[[#This Row],[Hold Category]]&amp;"P"&amp;Table2[[#This Row],[Period]]&amp;"C"&amp;Table2[[#This Row],[Type (Line)]]</f>
        <v>HCPC</v>
      </c>
      <c r="K109" s="196"/>
      <c r="M109" s="198"/>
      <c r="T109" s="199"/>
      <c r="Y109" s="196"/>
      <c r="Z109" s="200" t="str">
        <f ca="1">IF(A109="","",IF(Table2[[#This Row],[Date closed]]="",(TODAY()-B109),(Y109-B109)))</f>
        <v/>
      </c>
      <c r="AA109" s="201"/>
    </row>
    <row r="110" spans="2:27" ht="65.25" hidden="1" customHeight="1" x14ac:dyDescent="0.35">
      <c r="B110" s="196"/>
      <c r="G110" s="186" t="str">
        <f>"HC"&amp;Table2[[#This Row],[Hold Category]]&amp;"P"&amp;Table2[[#This Row],[Period]]&amp;"C"&amp;Table2[[#This Row],[Type (Line)]]</f>
        <v>HCPC</v>
      </c>
      <c r="K110" s="196"/>
      <c r="M110" s="198"/>
      <c r="T110" s="199"/>
      <c r="Y110" s="196"/>
      <c r="Z110" s="200" t="str">
        <f ca="1">IF(A110="","",IF(Table2[[#This Row],[Date closed]]="",(TODAY()-B110),(Y110-B110)))</f>
        <v/>
      </c>
      <c r="AA110" s="201"/>
    </row>
    <row r="111" spans="2:27" ht="63.75" hidden="1" customHeight="1" x14ac:dyDescent="0.35">
      <c r="B111" s="196"/>
      <c r="G111" s="186" t="str">
        <f>"HC"&amp;Table2[[#This Row],[Hold Category]]&amp;"P"&amp;Table2[[#This Row],[Period]]&amp;"C"&amp;Table2[[#This Row],[Type (Line)]]</f>
        <v>HCPC</v>
      </c>
      <c r="K111" s="196"/>
      <c r="M111" s="198"/>
      <c r="T111" s="199"/>
      <c r="Y111" s="196"/>
      <c r="Z111" s="200" t="str">
        <f ca="1">IF(A111="","",IF(Table2[[#This Row],[Date closed]]="",(TODAY()-B111),(Y111-B111)))</f>
        <v/>
      </c>
      <c r="AA111" s="201"/>
    </row>
    <row r="112" spans="2:27" ht="54.75" hidden="1" customHeight="1" x14ac:dyDescent="0.35">
      <c r="B112" s="196"/>
      <c r="G112" s="186" t="str">
        <f>"HC"&amp;Table2[[#This Row],[Hold Category]]&amp;"P"&amp;Table2[[#This Row],[Period]]&amp;"C"&amp;Table2[[#This Row],[Type (Line)]]</f>
        <v>HCPC</v>
      </c>
      <c r="K112" s="196"/>
      <c r="M112" s="198"/>
      <c r="T112" s="199"/>
      <c r="Y112" s="196"/>
      <c r="Z112" s="200" t="str">
        <f ca="1">IF(A112="","",IF(Table2[[#This Row],[Date closed]]="",(TODAY()-B112),(Y112-B112)))</f>
        <v/>
      </c>
      <c r="AA112" s="201"/>
    </row>
    <row r="113" spans="2:27" ht="62.25" hidden="1" customHeight="1" x14ac:dyDescent="0.35">
      <c r="B113" s="196"/>
      <c r="G113" s="186" t="str">
        <f>"HC"&amp;Table2[[#This Row],[Hold Category]]&amp;"P"&amp;Table2[[#This Row],[Period]]&amp;"C"&amp;Table2[[#This Row],[Type (Line)]]</f>
        <v>HCPC</v>
      </c>
      <c r="K113" s="196"/>
      <c r="M113" s="198"/>
      <c r="T113" s="199"/>
      <c r="Y113" s="196"/>
      <c r="Z113" s="200" t="str">
        <f ca="1">IF(A113="","",IF(Table2[[#This Row],[Date closed]]="",(TODAY()-B113),(Y113-B113)))</f>
        <v/>
      </c>
      <c r="AA113" s="201"/>
    </row>
    <row r="114" spans="2:27" ht="76.5" hidden="1" customHeight="1" x14ac:dyDescent="0.35">
      <c r="B114" s="196"/>
      <c r="G114" s="186" t="str">
        <f>"HC"&amp;Table2[[#This Row],[Hold Category]]&amp;"P"&amp;Table2[[#This Row],[Period]]&amp;"C"&amp;Table2[[#This Row],[Type (Line)]]</f>
        <v>HCPC</v>
      </c>
      <c r="K114" s="196"/>
      <c r="M114" s="198"/>
      <c r="T114" s="199"/>
      <c r="Y114" s="196"/>
      <c r="Z114" s="200" t="str">
        <f ca="1">IF(A114="","",IF(Table2[[#This Row],[Date closed]]="",(TODAY()-B114),(Y114-B114)))</f>
        <v/>
      </c>
      <c r="AA114" s="201"/>
    </row>
    <row r="115" spans="2:27" ht="62.25" hidden="1" customHeight="1" x14ac:dyDescent="0.35">
      <c r="B115" s="196"/>
      <c r="G115" s="186" t="str">
        <f>"HC"&amp;Table2[[#This Row],[Hold Category]]&amp;"P"&amp;Table2[[#This Row],[Period]]&amp;"C"&amp;Table2[[#This Row],[Type (Line)]]</f>
        <v>HCPC</v>
      </c>
      <c r="K115" s="196"/>
      <c r="M115" s="198"/>
      <c r="T115" s="199"/>
      <c r="Y115" s="196"/>
      <c r="Z115" s="200" t="str">
        <f ca="1">IF(A115="","",IF(Table2[[#This Row],[Date closed]]="",(TODAY()-B115),(Y115-B115)))</f>
        <v/>
      </c>
      <c r="AA115" s="201"/>
    </row>
    <row r="116" spans="2:27" ht="76.5" hidden="1" customHeight="1" x14ac:dyDescent="0.35">
      <c r="B116" s="196"/>
      <c r="G116" s="186" t="str">
        <f>"HC"&amp;Table2[[#This Row],[Hold Category]]&amp;"P"&amp;Table2[[#This Row],[Period]]&amp;"C"&amp;Table2[[#This Row],[Type (Line)]]</f>
        <v>HCPC</v>
      </c>
      <c r="K116" s="196"/>
      <c r="M116" s="198"/>
      <c r="T116" s="199"/>
      <c r="Y116" s="196"/>
      <c r="Z116" s="200" t="str">
        <f ca="1">IF(A116="","",IF(Table2[[#This Row],[Date closed]]="",(TODAY()-B116),(Y116-B116)))</f>
        <v/>
      </c>
      <c r="AA116" s="201"/>
    </row>
    <row r="117" spans="2:27" ht="97.5" hidden="1" customHeight="1" x14ac:dyDescent="0.35">
      <c r="B117" s="196"/>
      <c r="G117" s="186" t="str">
        <f>"HC"&amp;Table2[[#This Row],[Hold Category]]&amp;"P"&amp;Table2[[#This Row],[Period]]&amp;"C"&amp;Table2[[#This Row],[Type (Line)]]</f>
        <v>HCPC</v>
      </c>
      <c r="K117" s="196"/>
      <c r="M117" s="198"/>
      <c r="T117" s="199"/>
      <c r="Y117" s="196"/>
      <c r="Z117" s="200" t="str">
        <f ca="1">IF(A117="","",IF(Table2[[#This Row],[Date closed]]="",(TODAY()-B117),(Y117-B117)))</f>
        <v/>
      </c>
      <c r="AA117" s="201"/>
    </row>
    <row r="118" spans="2:27" ht="84.75" hidden="1" customHeight="1" x14ac:dyDescent="0.35">
      <c r="B118" s="196"/>
      <c r="G118" s="186" t="str">
        <f>"HC"&amp;Table2[[#This Row],[Hold Category]]&amp;"P"&amp;Table2[[#This Row],[Period]]&amp;"C"&amp;Table2[[#This Row],[Type (Line)]]</f>
        <v>HCPC</v>
      </c>
      <c r="K118" s="196"/>
      <c r="M118" s="198"/>
      <c r="T118" s="199"/>
      <c r="Y118" s="196"/>
      <c r="Z118" s="200" t="str">
        <f ca="1">IF(A118="","",IF(Table2[[#This Row],[Date closed]]="",(TODAY()-B118),(Y118-B118)))</f>
        <v/>
      </c>
      <c r="AA118" s="201"/>
    </row>
    <row r="119" spans="2:27" ht="80.25" hidden="1" customHeight="1" x14ac:dyDescent="0.35">
      <c r="B119" s="196"/>
      <c r="G119" s="186" t="str">
        <f>"HC"&amp;Table2[[#This Row],[Hold Category]]&amp;"P"&amp;Table2[[#This Row],[Period]]&amp;"C"&amp;Table2[[#This Row],[Type (Line)]]</f>
        <v>HCPC</v>
      </c>
      <c r="K119" s="196"/>
      <c r="M119" s="198"/>
      <c r="T119" s="199"/>
      <c r="Y119" s="196"/>
      <c r="Z119" s="200" t="str">
        <f ca="1">IF(A119="","",IF(Table2[[#This Row],[Date closed]]="",(TODAY()-B119),(Y119-B119)))</f>
        <v/>
      </c>
      <c r="AA119" s="201"/>
    </row>
    <row r="120" spans="2:27" ht="58.5" hidden="1" customHeight="1" x14ac:dyDescent="0.35">
      <c r="B120" s="196"/>
      <c r="G120" s="186" t="str">
        <f>"HC"&amp;Table2[[#This Row],[Hold Category]]&amp;"P"&amp;Table2[[#This Row],[Period]]&amp;"C"&amp;Table2[[#This Row],[Type (Line)]]</f>
        <v>HCPC</v>
      </c>
      <c r="K120" s="196"/>
      <c r="M120" s="198"/>
      <c r="T120" s="199"/>
      <c r="Y120" s="196"/>
      <c r="Z120" s="200" t="str">
        <f ca="1">IF(A120="","",IF(Table2[[#This Row],[Date closed]]="",(TODAY()-B120),(Y120-B120)))</f>
        <v/>
      </c>
      <c r="AA120" s="201"/>
    </row>
    <row r="121" spans="2:27" ht="86.25" hidden="1" customHeight="1" x14ac:dyDescent="0.35">
      <c r="B121" s="196"/>
      <c r="G121" s="186" t="str">
        <f>"HC"&amp;Table2[[#This Row],[Hold Category]]&amp;"P"&amp;Table2[[#This Row],[Period]]&amp;"C"&amp;Table2[[#This Row],[Type (Line)]]</f>
        <v>HCPC</v>
      </c>
      <c r="H121" s="207"/>
      <c r="K121" s="196"/>
      <c r="M121" s="198"/>
      <c r="T121" s="199"/>
      <c r="Y121" s="196"/>
      <c r="Z121" s="200" t="str">
        <f ca="1">IF(A121="","",IF(Table2[[#This Row],[Date closed]]="",(TODAY()-B121),(Y121-B121)))</f>
        <v/>
      </c>
      <c r="AA121" s="201"/>
    </row>
    <row r="122" spans="2:27" ht="73.5" hidden="1" customHeight="1" x14ac:dyDescent="0.35">
      <c r="B122" s="196"/>
      <c r="G122" s="186" t="str">
        <f>"HC"&amp;Table2[[#This Row],[Hold Category]]&amp;"P"&amp;Table2[[#This Row],[Period]]&amp;"C"&amp;Table2[[#This Row],[Type (Line)]]</f>
        <v>HCPC</v>
      </c>
      <c r="K122" s="196"/>
      <c r="M122" s="198"/>
      <c r="T122" s="199"/>
      <c r="Y122" s="196"/>
      <c r="Z122" s="200" t="str">
        <f ca="1">IF(A122="","",IF(Table2[[#This Row],[Date closed]]="",(TODAY()-B122),(Y122-B122)))</f>
        <v/>
      </c>
      <c r="AA122" s="201"/>
    </row>
    <row r="123" spans="2:27" ht="62.25" hidden="1" customHeight="1" x14ac:dyDescent="0.35">
      <c r="B123" s="196"/>
      <c r="G123" s="186" t="str">
        <f>"HC"&amp;Table2[[#This Row],[Hold Category]]&amp;"P"&amp;Table2[[#This Row],[Period]]&amp;"C"&amp;Table2[[#This Row],[Type (Line)]]</f>
        <v>HCPC</v>
      </c>
      <c r="K123" s="196"/>
      <c r="M123" s="198"/>
      <c r="T123" s="199"/>
      <c r="Y123" s="196"/>
      <c r="Z123" s="200" t="str">
        <f ca="1">IF(A123="","",IF(Table2[[#This Row],[Date closed]]="",(TODAY()-B123),(Y123-B123)))</f>
        <v/>
      </c>
      <c r="AA123" s="201"/>
    </row>
    <row r="124" spans="2:27" ht="51" hidden="1" customHeight="1" x14ac:dyDescent="0.35">
      <c r="B124" s="196"/>
      <c r="G124" s="186" t="str">
        <f>"HC"&amp;Table2[[#This Row],[Hold Category]]&amp;"P"&amp;Table2[[#This Row],[Period]]&amp;"C"&amp;Table2[[#This Row],[Type (Line)]]</f>
        <v>HCPC</v>
      </c>
      <c r="K124" s="196"/>
      <c r="M124" s="198"/>
      <c r="T124" s="199"/>
      <c r="Y124" s="196"/>
      <c r="Z124" s="200" t="str">
        <f ca="1">IF(A124="","",IF(Table2[[#This Row],[Date closed]]="",(TODAY()-B124),(Y124-B124)))</f>
        <v/>
      </c>
      <c r="AA124" s="201"/>
    </row>
    <row r="125" spans="2:27" ht="52.5" hidden="1" customHeight="1" x14ac:dyDescent="0.35">
      <c r="B125" s="196"/>
      <c r="G125" s="186" t="str">
        <f>"HC"&amp;Table2[[#This Row],[Hold Category]]&amp;"P"&amp;Table2[[#This Row],[Period]]&amp;"C"&amp;Table2[[#This Row],[Type (Line)]]</f>
        <v>HCPC</v>
      </c>
      <c r="K125" s="196"/>
      <c r="M125" s="198"/>
      <c r="T125" s="199"/>
      <c r="Y125" s="196"/>
      <c r="Z125" s="200" t="str">
        <f ca="1">IF(A125="","",IF(Table2[[#This Row],[Date closed]]="",(TODAY()-B125),(Y125-B125)))</f>
        <v/>
      </c>
      <c r="AA125" s="201"/>
    </row>
    <row r="126" spans="2:27" ht="47.25" hidden="1" customHeight="1" x14ac:dyDescent="0.35">
      <c r="B126" s="196"/>
      <c r="G126" s="186" t="str">
        <f>"HC"&amp;Table2[[#This Row],[Hold Category]]&amp;"P"&amp;Table2[[#This Row],[Period]]&amp;"C"&amp;Table2[[#This Row],[Type (Line)]]</f>
        <v>HCPC</v>
      </c>
      <c r="K126" s="196"/>
      <c r="M126" s="198"/>
      <c r="T126" s="199"/>
      <c r="Y126" s="196"/>
      <c r="Z126" s="200" t="str">
        <f ca="1">IF(A126="","",IF(Table2[[#This Row],[Date closed]]="",(TODAY()-B126),(Y126-B126)))</f>
        <v/>
      </c>
      <c r="AA126" s="201"/>
    </row>
    <row r="127" spans="2:27" ht="46.5" hidden="1" customHeight="1" x14ac:dyDescent="0.35">
      <c r="B127" s="196"/>
      <c r="G127" s="186" t="str">
        <f>"HC"&amp;Table2[[#This Row],[Hold Category]]&amp;"P"&amp;Table2[[#This Row],[Period]]&amp;"C"&amp;Table2[[#This Row],[Type (Line)]]</f>
        <v>HCPC</v>
      </c>
      <c r="K127" s="196"/>
      <c r="M127" s="198"/>
      <c r="T127" s="199"/>
      <c r="Y127" s="196"/>
      <c r="Z127" s="200" t="str">
        <f ca="1">IF(A127="","",IF(Table2[[#This Row],[Date closed]]="",(TODAY()-B127),(Y127-B127)))</f>
        <v/>
      </c>
      <c r="AA127" s="201"/>
    </row>
    <row r="128" spans="2:27" ht="65.25" hidden="1" customHeight="1" x14ac:dyDescent="0.35">
      <c r="B128" s="196"/>
      <c r="G128" s="186" t="str">
        <f>"HC"&amp;Table2[[#This Row],[Hold Category]]&amp;"P"&amp;Table2[[#This Row],[Period]]&amp;"C"&amp;Table2[[#This Row],[Type (Line)]]</f>
        <v>HCPC</v>
      </c>
      <c r="K128" s="196"/>
      <c r="M128" s="198"/>
      <c r="T128" s="199"/>
      <c r="Y128" s="196"/>
      <c r="Z128" s="200" t="str">
        <f ca="1">IF(A128="","",IF(Table2[[#This Row],[Date closed]]="",(TODAY()-B128),(Y128-B128)))</f>
        <v/>
      </c>
      <c r="AA128" s="201"/>
    </row>
    <row r="129" spans="2:27" ht="54" hidden="1" customHeight="1" x14ac:dyDescent="0.35">
      <c r="B129" s="196"/>
      <c r="G129" s="186" t="str">
        <f>"HC"&amp;Table2[[#This Row],[Hold Category]]&amp;"P"&amp;Table2[[#This Row],[Period]]&amp;"C"&amp;Table2[[#This Row],[Type (Line)]]</f>
        <v>HCPC</v>
      </c>
      <c r="K129" s="196"/>
      <c r="M129" s="198"/>
      <c r="T129" s="199"/>
      <c r="Y129" s="196"/>
      <c r="Z129" s="200" t="str">
        <f ca="1">IF(A129="","",IF(Table2[[#This Row],[Date closed]]="",(TODAY()-B129),(Y129-B129)))</f>
        <v/>
      </c>
      <c r="AA129" s="201"/>
    </row>
    <row r="130" spans="2:27" ht="50.25" hidden="1" customHeight="1" x14ac:dyDescent="0.35">
      <c r="B130" s="196"/>
      <c r="G130" s="186" t="str">
        <f>"HC"&amp;Table2[[#This Row],[Hold Category]]&amp;"P"&amp;Table2[[#This Row],[Period]]&amp;"C"&amp;Table2[[#This Row],[Type (Line)]]</f>
        <v>HCPC</v>
      </c>
      <c r="K130" s="196"/>
      <c r="M130" s="198"/>
      <c r="T130" s="199"/>
      <c r="Y130" s="196"/>
      <c r="Z130" s="200" t="str">
        <f ca="1">IF(A130="","",IF(Table2[[#This Row],[Date closed]]="",(TODAY()-B130),(Y130-B130)))</f>
        <v/>
      </c>
      <c r="AA130" s="201"/>
    </row>
    <row r="131" spans="2:27" ht="54" hidden="1" customHeight="1" x14ac:dyDescent="0.35">
      <c r="B131" s="196"/>
      <c r="G131" s="186" t="str">
        <f>"HC"&amp;Table2[[#This Row],[Hold Category]]&amp;"P"&amp;Table2[[#This Row],[Period]]&amp;"C"&amp;Table2[[#This Row],[Type (Line)]]</f>
        <v>HCPC</v>
      </c>
      <c r="I131" s="186" t="str">
        <f>IF(Table2[[#This Row],[Product Code]]="","",VLOOKUP(Table2[[#This Row],[Product Code]],'[5]Product List'!A:B,2,FALSE))</f>
        <v/>
      </c>
      <c r="K131" s="196"/>
      <c r="M131" s="198"/>
      <c r="T131" s="199"/>
      <c r="Y131" s="196"/>
      <c r="Z131" s="200" t="str">
        <f ca="1">IF(A131="","",IF(Table2[[#This Row],[Date closed]]="",(TODAY()-B131),(Y131-B131)))</f>
        <v/>
      </c>
      <c r="AA131" s="201"/>
    </row>
    <row r="132" spans="2:27" ht="39" hidden="1" customHeight="1" x14ac:dyDescent="0.35">
      <c r="B132" s="196"/>
      <c r="G132" s="186" t="str">
        <f>"HC"&amp;Table2[[#This Row],[Hold Category]]&amp;"P"&amp;Table2[[#This Row],[Period]]&amp;"C"&amp;Table2[[#This Row],[Type (Line)]]</f>
        <v>HCPC</v>
      </c>
      <c r="I132" s="186" t="str">
        <f>IF(Table2[[#This Row],[Product Code]]="","",VLOOKUP(Table2[[#This Row],[Product Code]],'[5]Product List'!A:B,2,FALSE))</f>
        <v/>
      </c>
      <c r="K132" s="196"/>
      <c r="M132" s="198"/>
      <c r="T132" s="199"/>
      <c r="Y132" s="196"/>
      <c r="Z132" s="200" t="str">
        <f ca="1">IF(A132="","",IF(Table2[[#This Row],[Date closed]]="",(TODAY()-B132),(Y132-B132)))</f>
        <v/>
      </c>
      <c r="AA132" s="201"/>
    </row>
    <row r="133" spans="2:27" x14ac:dyDescent="0.35">
      <c r="B133" s="196"/>
      <c r="K133" s="196"/>
      <c r="M133" s="198"/>
      <c r="T133" s="199"/>
      <c r="Y133" s="196"/>
      <c r="Z133" s="200" t="str">
        <f ca="1">IF(A133="","",IF(Table2[[#This Row],[Date closed]]="",(TODAY()-B133),(Y133-B133)))</f>
        <v/>
      </c>
      <c r="AA133" s="201" t="s">
        <v>36</v>
      </c>
    </row>
    <row r="135" spans="2:27" x14ac:dyDescent="0.35">
      <c r="F135" s="186" t="s">
        <v>37</v>
      </c>
    </row>
    <row r="139" spans="2:27" x14ac:dyDescent="0.35">
      <c r="M139" s="186">
        <f ca="1">M139</f>
        <v>0</v>
      </c>
    </row>
  </sheetData>
  <mergeCells count="4">
    <mergeCell ref="R3:T3"/>
    <mergeCell ref="U3:W3"/>
    <mergeCell ref="A1:J1"/>
    <mergeCell ref="A2:J2"/>
  </mergeCells>
  <conditionalFormatting sqref="Z5:Z66 Z68:Z70 Z74:Z133">
    <cfRule type="cellIs" dxfId="8" priority="5" operator="greaterThan">
      <formula>14</formula>
    </cfRule>
    <cfRule type="cellIs" dxfId="7" priority="6" operator="between">
      <formula>7</formula>
      <formula>14</formula>
    </cfRule>
    <cfRule type="cellIs" dxfId="6" priority="7" operator="between">
      <formula>0</formula>
      <formula>7</formula>
    </cfRule>
  </conditionalFormatting>
  <conditionalFormatting sqref="AA5:AA66">
    <cfRule type="containsText" dxfId="5" priority="1" operator="containsText" text="Closed">
      <formula>NOT(ISERROR(SEARCH("Closed",AA5)))</formula>
    </cfRule>
    <cfRule type="containsText" dxfId="4" priority="2" operator="containsText" text="Open">
      <formula>NOT(ISERROR(SEARCH("Open",AA5)))</formula>
    </cfRule>
  </conditionalFormatting>
  <conditionalFormatting sqref="AA68:AA70 AA133">
    <cfRule type="containsText" dxfId="3" priority="8" operator="containsText" text="Closed">
      <formula>NOT(ISERROR(SEARCH("Closed",AA68)))</formula>
    </cfRule>
    <cfRule type="containsText" dxfId="2" priority="9" operator="containsText" text="Open">
      <formula>NOT(ISERROR(SEARCH("Open",AA68)))</formula>
    </cfRule>
  </conditionalFormatting>
  <conditionalFormatting sqref="AA74:AA130">
    <cfRule type="containsText" dxfId="1" priority="3" operator="containsText" text="Closed">
      <formula>NOT(ISERROR(SEARCH("Closed",AA74)))</formula>
    </cfRule>
    <cfRule type="containsText" dxfId="0" priority="4" operator="containsText" text="Open">
      <formula>NOT(ISERROR(SEARCH("Open",AA74)))</formula>
    </cfRule>
  </conditionalFormatting>
  <dataValidations count="13">
    <dataValidation type="list" allowBlank="1" showInputMessage="1" showErrorMessage="1" sqref="H122:H132" xr:uid="{D3A2E986-FC6B-45D2-8B3A-7018A263E3BE}">
      <formula1>$A$4:$A$205</formula1>
    </dataValidation>
    <dataValidation type="list" allowBlank="1" showInputMessage="1" showErrorMessage="1" sqref="F74:F133 F68:F70 F5:F66" xr:uid="{5A79B620-16F7-4E3B-8C3A-0A961441B676}">
      <formula1>"Annette, CIM 1, CIM 2, Pie, Rijkaart, Universal, Ingredient, Packaging, Equipment"</formula1>
    </dataValidation>
    <dataValidation type="list" allowBlank="1" showInputMessage="1" showErrorMessage="1" sqref="D74:D133 D68:D70 D5:D66" xr:uid="{60888883-5D6D-4F44-8AA3-539CDC85F39F}">
      <formula1>"1,2,3,4,5,6,7,8,9,10,11,12"</formula1>
    </dataValidation>
    <dataValidation type="list" allowBlank="1" showInputMessage="1" showErrorMessage="1" sqref="AA74:AA133 AA68:AA70 AA5:AA66" xr:uid="{0FF315D6-0CE9-4A4C-AB07-A648CBAF77FF}">
      <formula1>"Open, Closed"</formula1>
    </dataValidation>
    <dataValidation type="list" allowBlank="1" showInputMessage="1" showErrorMessage="1" sqref="P74:P133 P68:P70 P5:P66" xr:uid="{3B14ABDB-661A-4753-B69F-BDA5B155C5E9}">
      <formula1>"Rework, Scrap, Liquidate, Release"</formula1>
    </dataValidation>
    <dataValidation type="list" allowBlank="1" showInputMessage="1" showErrorMessage="1" sqref="W5:W66 W68:W70 W74:W133" xr:uid="{17F8BC31-5DA1-4F66-9A00-452F45AD738F}">
      <formula1>"Yes, No"</formula1>
    </dataValidation>
    <dataValidation type="list" allowBlank="1" showInputMessage="1" showErrorMessage="1" sqref="E74:E133 E68:E70 E5:E66" xr:uid="{9F01D3AD-F4D6-4F20-8552-9C11D10B3E51}">
      <formula1>"Mid, Day, Aft"</formula1>
    </dataValidation>
    <dataValidation type="list" allowBlank="1" showInputMessage="1" showErrorMessage="1" sqref="C5:C66 C68:C70 C74:C133" xr:uid="{96405963-96CE-44A0-BE3F-2E7222E3007E}">
      <formula1>"1,2"</formula1>
    </dataValidation>
    <dataValidation type="list" allowBlank="1" showInputMessage="1" showErrorMessage="1" sqref="O27:O40 X66 X5:X8 X68:X70 X74:X78 O6:O10 O74:O88" xr:uid="{BDBDAEB6-3F1F-4E77-AC7E-E25DEBD8776A}">
      <formula1>"Masoud, Stephanie"</formula1>
    </dataValidation>
    <dataValidation type="list" allowBlank="1" showInputMessage="1" showErrorMessage="1" sqref="O26" xr:uid="{CE8DD18E-5FD1-4E8B-855F-3CA14700984F}">
      <formula1>"Masoud, Stephanie,"</formula1>
    </dataValidation>
    <dataValidation type="list" allowBlank="1" showInputMessage="1" showErrorMessage="1" sqref="M33 N74:N133 N68:N70 N5:N66" xr:uid="{62C29CF7-D71D-4F1E-9EE4-C911B4684768}">
      <formula1>"Food Safety, Quality, Customer Complaint, R &amp; D, Product Review, Expired, New Product, Discontinued, Promotion, Samples, Warehouse Damage, Liquidation Sales, Logistics Returns, Defective Product, Incorrect Product, No longer Required, Others"</formula1>
    </dataValidation>
    <dataValidation type="list" allowBlank="1" showInputMessage="1" showErrorMessage="1" sqref="X10 O89:O133 O68:O70 O41:O66 O5:O25" xr:uid="{C8775CE4-F9C9-415D-AAC8-36532DB4B46E}">
      <formula1>"Mahavir, Stephanie, Ranjeet, Harita"</formula1>
    </dataValidation>
    <dataValidation type="list" allowBlank="1" showInputMessage="1" showErrorMessage="1" sqref="X5:X9 X11:X65 X79:X119" xr:uid="{187459B0-2ED4-4AB3-8687-893021F20099}">
      <formula1>"Mahavir, Stephanie, Ranjeet"</formula1>
    </dataValidation>
  </dataValidations>
  <pageMargins left="0.19685039370078741" right="0.19685039370078741" top="0.51181102362204722" bottom="0.51181102362204722" header="0.31496062992125984" footer="0.31496062992125984"/>
  <pageSetup paperSize="5" scale="12" orientation="landscape" r:id="rId1"/>
  <headerFooter>
    <oddHeader xml:space="preserve">&amp;LThe Great Canadian Meat Company&amp;RRC-28
</oddHeader>
    <oddFooter>&amp;LPrepared by:Food Technology Consulting 
 Approved by: MU&amp;CPage  &amp;P&amp;RRev. Date: 08-Dec-2021 
Rev. # 02</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F03F-CA4E-455F-9E6A-4EC5C8542E0D}">
  <sheetPr>
    <tabColor rgb="FFFF0000"/>
  </sheetPr>
  <dimension ref="A1:AY86"/>
  <sheetViews>
    <sheetView zoomScale="80" zoomScaleNormal="80" workbookViewId="0">
      <selection activeCell="H89" sqref="H89"/>
    </sheetView>
  </sheetViews>
  <sheetFormatPr defaultRowHeight="14.5" x14ac:dyDescent="0.35"/>
  <cols>
    <col min="1" max="1" width="14.1796875" style="61" customWidth="1"/>
    <col min="2" max="2" width="14" style="91" customWidth="1"/>
    <col min="3" max="3" width="33.453125" style="94" customWidth="1"/>
    <col min="4" max="4" width="14.26953125" style="64" customWidth="1"/>
    <col min="5" max="5" width="16.26953125" style="64" customWidth="1"/>
    <col min="6" max="6" width="26.54296875" style="61" customWidth="1"/>
    <col min="7" max="7" width="18.453125" style="61" hidden="1" customWidth="1"/>
    <col min="8" max="8" width="44" style="61" customWidth="1"/>
    <col min="9" max="9" width="13" style="156" customWidth="1"/>
    <col min="10" max="10" width="7.26953125" style="94" customWidth="1"/>
    <col min="11" max="11" width="15.54296875" style="114" customWidth="1"/>
    <col min="12" max="51" width="9.1796875" style="13"/>
  </cols>
  <sheetData>
    <row r="1" spans="1:51" ht="15.75" customHeight="1" x14ac:dyDescent="0.35">
      <c r="A1" s="216" t="s">
        <v>0</v>
      </c>
      <c r="B1" s="217"/>
      <c r="C1" s="217"/>
      <c r="D1" s="217"/>
      <c r="E1" s="217"/>
      <c r="F1" s="217"/>
      <c r="G1" s="217"/>
      <c r="H1" s="217"/>
      <c r="I1" s="217"/>
      <c r="J1" s="217"/>
      <c r="K1" s="95"/>
    </row>
    <row r="2" spans="1:51" ht="20.25" customHeight="1" x14ac:dyDescent="0.35">
      <c r="A2" s="218" t="s">
        <v>1</v>
      </c>
      <c r="B2" s="219"/>
      <c r="C2" s="219"/>
      <c r="D2" s="219"/>
      <c r="E2" s="219"/>
      <c r="F2" s="219"/>
      <c r="G2" s="219"/>
      <c r="H2" s="219"/>
      <c r="I2" s="219"/>
      <c r="J2" s="219"/>
      <c r="K2" s="96"/>
    </row>
    <row r="3" spans="1:51" ht="57.75" customHeight="1" x14ac:dyDescent="0.35">
      <c r="A3" s="120" t="s">
        <v>38</v>
      </c>
      <c r="B3" s="121" t="s">
        <v>39</v>
      </c>
      <c r="C3" s="121" t="s">
        <v>40</v>
      </c>
      <c r="D3" s="122" t="s">
        <v>41</v>
      </c>
      <c r="E3" s="122" t="s">
        <v>42</v>
      </c>
      <c r="F3" s="122" t="s">
        <v>43</v>
      </c>
      <c r="G3" s="122" t="s">
        <v>44</v>
      </c>
      <c r="H3" s="122" t="s">
        <v>45</v>
      </c>
      <c r="I3" s="145" t="s">
        <v>46</v>
      </c>
      <c r="J3" s="160" t="s">
        <v>47</v>
      </c>
      <c r="K3" s="123" t="s">
        <v>48</v>
      </c>
    </row>
    <row r="4" spans="1:51" ht="24.75" customHeight="1" x14ac:dyDescent="0.35">
      <c r="A4" s="89" t="s">
        <v>49</v>
      </c>
      <c r="B4" s="22">
        <v>45672</v>
      </c>
      <c r="C4" s="20" t="s">
        <v>50</v>
      </c>
      <c r="D4" s="90">
        <v>20220702</v>
      </c>
      <c r="E4" s="20" t="s">
        <v>51</v>
      </c>
      <c r="F4" s="20" t="s">
        <v>52</v>
      </c>
      <c r="G4" s="21" t="s">
        <v>53</v>
      </c>
      <c r="H4" s="286" t="s">
        <v>54</v>
      </c>
      <c r="I4" s="288">
        <v>45678</v>
      </c>
      <c r="J4" s="290" t="s">
        <v>55</v>
      </c>
      <c r="K4" s="97" t="s">
        <v>56</v>
      </c>
    </row>
    <row r="5" spans="1:51" ht="24.75" customHeight="1" x14ac:dyDescent="0.35">
      <c r="A5" s="99" t="s">
        <v>57</v>
      </c>
      <c r="B5" s="22">
        <v>45673</v>
      </c>
      <c r="C5" s="20" t="s">
        <v>50</v>
      </c>
      <c r="D5" s="90">
        <v>20220702</v>
      </c>
      <c r="E5" s="20" t="s">
        <v>51</v>
      </c>
      <c r="F5" s="20" t="s">
        <v>52</v>
      </c>
      <c r="G5" s="21" t="s">
        <v>53</v>
      </c>
      <c r="H5" s="287"/>
      <c r="I5" s="289"/>
      <c r="J5" s="291"/>
      <c r="K5" s="97" t="s">
        <v>56</v>
      </c>
    </row>
    <row r="6" spans="1:51" ht="40.5" customHeight="1" x14ac:dyDescent="0.35">
      <c r="A6" s="278" t="s">
        <v>58</v>
      </c>
      <c r="B6" s="279">
        <v>45693</v>
      </c>
      <c r="C6" s="43" t="s">
        <v>59</v>
      </c>
      <c r="D6" s="45" t="s">
        <v>60</v>
      </c>
      <c r="E6" s="45" t="s">
        <v>61</v>
      </c>
      <c r="F6" s="282" t="s">
        <v>62</v>
      </c>
      <c r="G6" s="103"/>
      <c r="H6" s="105" t="s">
        <v>63</v>
      </c>
      <c r="I6" s="146">
        <v>45700</v>
      </c>
      <c r="J6" s="161" t="s">
        <v>55</v>
      </c>
      <c r="K6" s="285" t="s">
        <v>57</v>
      </c>
    </row>
    <row r="7" spans="1:51" ht="24.75" customHeight="1" x14ac:dyDescent="0.35">
      <c r="A7" s="278"/>
      <c r="B7" s="280"/>
      <c r="C7" s="43" t="s">
        <v>64</v>
      </c>
      <c r="D7" s="45" t="s">
        <v>65</v>
      </c>
      <c r="E7" s="45" t="s">
        <v>66</v>
      </c>
      <c r="F7" s="283"/>
      <c r="G7" s="103"/>
      <c r="H7" s="112" t="s">
        <v>67</v>
      </c>
      <c r="I7" s="147">
        <v>45694</v>
      </c>
      <c r="J7" s="162" t="s">
        <v>55</v>
      </c>
      <c r="K7" s="285"/>
    </row>
    <row r="8" spans="1:51" ht="24.75" customHeight="1" x14ac:dyDescent="0.35">
      <c r="A8" s="278"/>
      <c r="B8" s="281"/>
      <c r="C8" s="43" t="s">
        <v>68</v>
      </c>
      <c r="D8" s="45" t="s">
        <v>65</v>
      </c>
      <c r="E8" s="45" t="s">
        <v>69</v>
      </c>
      <c r="F8" s="284"/>
      <c r="G8" s="103"/>
      <c r="H8" s="112" t="s">
        <v>67</v>
      </c>
      <c r="I8" s="146">
        <v>45700</v>
      </c>
      <c r="J8" s="162" t="s">
        <v>55</v>
      </c>
      <c r="K8" s="285"/>
    </row>
    <row r="9" spans="1:51" s="61" customFormat="1" ht="29" x14ac:dyDescent="0.35">
      <c r="A9" s="88" t="s">
        <v>70</v>
      </c>
      <c r="B9" s="98">
        <v>45694</v>
      </c>
      <c r="C9" s="35" t="s">
        <v>71</v>
      </c>
      <c r="D9" s="39" t="s">
        <v>72</v>
      </c>
      <c r="E9" s="39" t="s">
        <v>73</v>
      </c>
      <c r="F9" s="39" t="s">
        <v>74</v>
      </c>
      <c r="G9" s="92"/>
      <c r="H9" s="104" t="s">
        <v>75</v>
      </c>
      <c r="I9" s="148">
        <v>45701</v>
      </c>
      <c r="J9" s="144" t="s">
        <v>55</v>
      </c>
      <c r="K9" s="88" t="s">
        <v>70</v>
      </c>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row>
    <row r="10" spans="1:51" ht="27.75" customHeight="1" x14ac:dyDescent="0.35">
      <c r="A10" s="88" t="s">
        <v>76</v>
      </c>
      <c r="B10" s="98">
        <v>45694</v>
      </c>
      <c r="C10" s="90" t="s">
        <v>77</v>
      </c>
      <c r="D10" s="39" t="s">
        <v>78</v>
      </c>
      <c r="E10" s="39" t="s">
        <v>79</v>
      </c>
      <c r="F10" s="92" t="s">
        <v>80</v>
      </c>
      <c r="G10" s="92"/>
      <c r="H10" s="76" t="s">
        <v>81</v>
      </c>
      <c r="I10" s="149">
        <v>45695</v>
      </c>
      <c r="J10" s="116" t="s">
        <v>55</v>
      </c>
      <c r="K10" s="88" t="s">
        <v>56</v>
      </c>
    </row>
    <row r="11" spans="1:51" ht="27.75" customHeight="1" x14ac:dyDescent="0.35">
      <c r="A11" s="88" t="s">
        <v>82</v>
      </c>
      <c r="B11" s="102">
        <v>45692</v>
      </c>
      <c r="C11" s="35" t="s">
        <v>83</v>
      </c>
      <c r="D11" s="39" t="s">
        <v>84</v>
      </c>
      <c r="E11" s="90" t="s">
        <v>66</v>
      </c>
      <c r="F11" s="265" t="s">
        <v>85</v>
      </c>
      <c r="G11" s="92"/>
      <c r="H11" s="245" t="s">
        <v>86</v>
      </c>
      <c r="I11" s="251">
        <v>45702</v>
      </c>
      <c r="J11" s="116" t="s">
        <v>55</v>
      </c>
      <c r="K11" s="88" t="s">
        <v>76</v>
      </c>
    </row>
    <row r="12" spans="1:51" ht="24.75" customHeight="1" x14ac:dyDescent="0.35">
      <c r="A12" s="100" t="s">
        <v>87</v>
      </c>
      <c r="B12" s="93">
        <v>45695</v>
      </c>
      <c r="C12" s="101" t="s">
        <v>88</v>
      </c>
      <c r="D12" s="90" t="s">
        <v>89</v>
      </c>
      <c r="E12" s="90" t="s">
        <v>90</v>
      </c>
      <c r="F12" s="266"/>
      <c r="G12" s="92"/>
      <c r="H12" s="247"/>
      <c r="I12" s="262"/>
      <c r="J12" s="116" t="s">
        <v>55</v>
      </c>
      <c r="K12" s="88" t="s">
        <v>82</v>
      </c>
    </row>
    <row r="13" spans="1:51" ht="24.75" customHeight="1" x14ac:dyDescent="0.35">
      <c r="A13" s="100" t="s">
        <v>91</v>
      </c>
      <c r="B13" s="93">
        <v>45712</v>
      </c>
      <c r="C13" s="101" t="s">
        <v>92</v>
      </c>
      <c r="D13" s="39" t="s">
        <v>93</v>
      </c>
      <c r="E13" s="39" t="s">
        <v>94</v>
      </c>
      <c r="F13" s="39" t="s">
        <v>95</v>
      </c>
      <c r="G13" s="92"/>
      <c r="H13" s="39" t="s">
        <v>96</v>
      </c>
      <c r="I13" s="149">
        <v>45737</v>
      </c>
      <c r="J13" s="113" t="s">
        <v>55</v>
      </c>
      <c r="K13" s="88" t="s">
        <v>87</v>
      </c>
    </row>
    <row r="14" spans="1:51" ht="24.75" customHeight="1" x14ac:dyDescent="0.35">
      <c r="A14" s="292" t="s">
        <v>97</v>
      </c>
      <c r="B14" s="106">
        <v>45719</v>
      </c>
      <c r="C14" s="35" t="s">
        <v>98</v>
      </c>
      <c r="D14" s="39" t="s">
        <v>99</v>
      </c>
      <c r="E14" s="39" t="s">
        <v>66</v>
      </c>
      <c r="F14" s="224" t="s">
        <v>100</v>
      </c>
      <c r="G14" s="92"/>
      <c r="H14" s="265" t="s">
        <v>101</v>
      </c>
      <c r="I14" s="267">
        <v>45727</v>
      </c>
      <c r="J14" s="269" t="s">
        <v>55</v>
      </c>
      <c r="K14" s="223" t="s">
        <v>102</v>
      </c>
    </row>
    <row r="15" spans="1:51" ht="24.75" customHeight="1" x14ac:dyDescent="0.35">
      <c r="A15" s="240"/>
      <c r="B15" s="106">
        <v>45719</v>
      </c>
      <c r="C15" s="35" t="s">
        <v>103</v>
      </c>
      <c r="D15" s="39" t="s">
        <v>104</v>
      </c>
      <c r="E15" s="39" t="s">
        <v>105</v>
      </c>
      <c r="F15" s="225"/>
      <c r="G15" s="92"/>
      <c r="H15" s="277"/>
      <c r="I15" s="268"/>
      <c r="J15" s="270"/>
      <c r="K15" s="223"/>
    </row>
    <row r="16" spans="1:51" ht="24.75" customHeight="1" x14ac:dyDescent="0.35">
      <c r="A16" s="240"/>
      <c r="B16" s="106">
        <v>45719</v>
      </c>
      <c r="C16" s="35" t="s">
        <v>106</v>
      </c>
      <c r="D16" s="39" t="s">
        <v>107</v>
      </c>
      <c r="E16" s="39" t="s">
        <v>69</v>
      </c>
      <c r="F16" s="225"/>
      <c r="G16" s="92"/>
      <c r="H16" s="277"/>
      <c r="I16" s="268"/>
      <c r="J16" s="270"/>
      <c r="K16" s="223"/>
    </row>
    <row r="17" spans="1:51" s="13" customFormat="1" ht="24.75" customHeight="1" x14ac:dyDescent="0.35">
      <c r="A17" s="241"/>
      <c r="B17" s="108">
        <v>45719</v>
      </c>
      <c r="C17" s="107" t="s">
        <v>108</v>
      </c>
      <c r="D17" s="72" t="s">
        <v>109</v>
      </c>
      <c r="E17" s="72" t="s">
        <v>110</v>
      </c>
      <c r="F17" s="226"/>
      <c r="G17" s="109"/>
      <c r="H17" s="266"/>
      <c r="I17" s="268"/>
      <c r="J17" s="271"/>
      <c r="K17" s="223"/>
    </row>
    <row r="18" spans="1:51" s="87" customFormat="1" ht="36.75" customHeight="1" x14ac:dyDescent="0.35">
      <c r="A18" s="88" t="s">
        <v>111</v>
      </c>
      <c r="B18" s="90"/>
      <c r="C18" s="35" t="s">
        <v>112</v>
      </c>
      <c r="D18" s="39" t="s">
        <v>113</v>
      </c>
      <c r="E18" s="39" t="s">
        <v>114</v>
      </c>
      <c r="F18" s="39" t="s">
        <v>115</v>
      </c>
      <c r="G18" s="92"/>
      <c r="H18" s="35" t="s">
        <v>116</v>
      </c>
      <c r="I18" s="151">
        <v>45733</v>
      </c>
      <c r="J18" s="116" t="s">
        <v>55</v>
      </c>
      <c r="K18" s="119" t="s">
        <v>117</v>
      </c>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24"/>
    </row>
    <row r="19" spans="1:51" s="87" customFormat="1" ht="24.75" customHeight="1" x14ac:dyDescent="0.35">
      <c r="A19" s="88" t="s">
        <v>102</v>
      </c>
      <c r="B19" s="67">
        <v>45737</v>
      </c>
      <c r="C19" s="35" t="s">
        <v>118</v>
      </c>
      <c r="D19" s="39" t="s">
        <v>119</v>
      </c>
      <c r="E19" s="39" t="s">
        <v>120</v>
      </c>
      <c r="F19" s="92" t="s">
        <v>121</v>
      </c>
      <c r="G19" s="92"/>
      <c r="H19" s="35" t="s">
        <v>122</v>
      </c>
      <c r="I19" s="151">
        <v>45740</v>
      </c>
      <c r="J19" s="116" t="s">
        <v>55</v>
      </c>
      <c r="K19" s="111" t="s">
        <v>56</v>
      </c>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24"/>
    </row>
    <row r="20" spans="1:51" s="87" customFormat="1" ht="30" customHeight="1" x14ac:dyDescent="0.35">
      <c r="A20" s="88" t="s">
        <v>117</v>
      </c>
      <c r="B20" s="67">
        <v>45737</v>
      </c>
      <c r="C20" s="110" t="s">
        <v>123</v>
      </c>
      <c r="D20" s="176" t="s">
        <v>124</v>
      </c>
      <c r="E20" s="177" t="s">
        <v>125</v>
      </c>
      <c r="F20" s="110" t="s">
        <v>126</v>
      </c>
      <c r="G20" s="92"/>
      <c r="H20" s="115" t="s">
        <v>127</v>
      </c>
      <c r="I20" s="149">
        <v>45747</v>
      </c>
      <c r="J20" s="113" t="s">
        <v>55</v>
      </c>
      <c r="K20" s="88" t="s">
        <v>128</v>
      </c>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24"/>
    </row>
    <row r="21" spans="1:51" s="87" customFormat="1" ht="24.75" hidden="1" customHeight="1" x14ac:dyDescent="0.35">
      <c r="A21" s="92" t="s">
        <v>129</v>
      </c>
      <c r="B21" s="67">
        <v>45740</v>
      </c>
      <c r="C21" s="115" t="s">
        <v>130</v>
      </c>
      <c r="D21" s="76" t="s">
        <v>119</v>
      </c>
      <c r="E21" s="76" t="s">
        <v>131</v>
      </c>
      <c r="F21" s="39" t="s">
        <v>132</v>
      </c>
      <c r="G21" s="92"/>
      <c r="H21" s="73" t="s">
        <v>133</v>
      </c>
      <c r="I21" s="152"/>
      <c r="J21" s="113"/>
      <c r="K21" s="88" t="s">
        <v>56</v>
      </c>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24"/>
    </row>
    <row r="22" spans="1:51" s="87" customFormat="1" ht="26.25" hidden="1" customHeight="1" x14ac:dyDescent="0.35">
      <c r="A22" s="92" t="s">
        <v>56</v>
      </c>
      <c r="B22" s="92" t="s">
        <v>56</v>
      </c>
      <c r="C22" s="90" t="s">
        <v>134</v>
      </c>
      <c r="D22" s="39" t="s">
        <v>56</v>
      </c>
      <c r="E22" s="39" t="s">
        <v>56</v>
      </c>
      <c r="F22" s="39" t="s">
        <v>135</v>
      </c>
      <c r="G22" s="92"/>
      <c r="H22" s="92" t="s">
        <v>136</v>
      </c>
      <c r="I22" s="149">
        <v>45747</v>
      </c>
      <c r="J22" s="113" t="s">
        <v>55</v>
      </c>
      <c r="K22" s="88" t="s">
        <v>56</v>
      </c>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24"/>
    </row>
    <row r="23" spans="1:51" s="87" customFormat="1" ht="24.75" hidden="1" customHeight="1" x14ac:dyDescent="0.35">
      <c r="A23" s="92" t="s">
        <v>137</v>
      </c>
      <c r="B23" s="67">
        <v>45744</v>
      </c>
      <c r="C23" s="115" t="s">
        <v>138</v>
      </c>
      <c r="D23" s="76" t="s">
        <v>139</v>
      </c>
      <c r="E23" s="76" t="s">
        <v>140</v>
      </c>
      <c r="F23" s="92" t="s">
        <v>141</v>
      </c>
      <c r="G23" s="92"/>
      <c r="H23" s="109" t="s">
        <v>142</v>
      </c>
      <c r="I23" s="153"/>
      <c r="J23" s="113"/>
      <c r="K23" s="88" t="s">
        <v>56</v>
      </c>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24"/>
    </row>
    <row r="24" spans="1:51" s="87" customFormat="1" ht="24.75" customHeight="1" x14ac:dyDescent="0.35">
      <c r="A24" s="224" t="s">
        <v>143</v>
      </c>
      <c r="B24" s="256">
        <v>45747</v>
      </c>
      <c r="C24" s="35" t="s">
        <v>144</v>
      </c>
      <c r="D24" s="90" t="s">
        <v>145</v>
      </c>
      <c r="E24" s="90" t="s">
        <v>146</v>
      </c>
      <c r="F24" s="224" t="s">
        <v>147</v>
      </c>
      <c r="G24" s="116"/>
      <c r="H24" s="115" t="s">
        <v>127</v>
      </c>
      <c r="I24" s="149">
        <v>45747</v>
      </c>
      <c r="J24" s="272" t="s">
        <v>55</v>
      </c>
      <c r="K24" s="88" t="s">
        <v>56</v>
      </c>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24"/>
    </row>
    <row r="25" spans="1:51" s="87" customFormat="1" ht="24.75" customHeight="1" x14ac:dyDescent="0.35">
      <c r="A25" s="225"/>
      <c r="B25" s="275"/>
      <c r="C25" s="35" t="s">
        <v>148</v>
      </c>
      <c r="D25" s="90" t="s">
        <v>149</v>
      </c>
      <c r="E25" s="90" t="s">
        <v>150</v>
      </c>
      <c r="F25" s="225"/>
      <c r="G25" s="116"/>
      <c r="H25" s="115" t="s">
        <v>127</v>
      </c>
      <c r="I25" s="149">
        <v>45747</v>
      </c>
      <c r="J25" s="273"/>
      <c r="K25" s="88" t="s">
        <v>56</v>
      </c>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24"/>
    </row>
    <row r="26" spans="1:51" s="87" customFormat="1" ht="24.75" customHeight="1" x14ac:dyDescent="0.35">
      <c r="A26" s="225"/>
      <c r="B26" s="275"/>
      <c r="C26" s="35" t="s">
        <v>151</v>
      </c>
      <c r="D26" s="90" t="s">
        <v>152</v>
      </c>
      <c r="E26" s="90" t="s">
        <v>153</v>
      </c>
      <c r="F26" s="225"/>
      <c r="G26" s="116"/>
      <c r="H26" s="115" t="s">
        <v>127</v>
      </c>
      <c r="I26" s="154">
        <v>45749</v>
      </c>
      <c r="J26" s="273"/>
      <c r="K26" s="88" t="s">
        <v>56</v>
      </c>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24"/>
    </row>
    <row r="27" spans="1:51" s="87" customFormat="1" ht="24.75" customHeight="1" x14ac:dyDescent="0.35">
      <c r="A27" s="225"/>
      <c r="B27" s="275"/>
      <c r="C27" s="35" t="s">
        <v>88</v>
      </c>
      <c r="D27" s="90" t="s">
        <v>154</v>
      </c>
      <c r="E27" s="90" t="s">
        <v>155</v>
      </c>
      <c r="F27" s="225"/>
      <c r="G27" s="116"/>
      <c r="H27" s="115" t="s">
        <v>127</v>
      </c>
      <c r="I27" s="154">
        <v>45749</v>
      </c>
      <c r="J27" s="273"/>
      <c r="K27" s="88" t="s">
        <v>56</v>
      </c>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24"/>
    </row>
    <row r="28" spans="1:51" s="87" customFormat="1" ht="24.75" customHeight="1" x14ac:dyDescent="0.35">
      <c r="A28" s="226"/>
      <c r="B28" s="276"/>
      <c r="C28" s="35" t="s">
        <v>156</v>
      </c>
      <c r="D28" s="90" t="s">
        <v>154</v>
      </c>
      <c r="E28" s="90" t="s">
        <v>157</v>
      </c>
      <c r="F28" s="226"/>
      <c r="G28" s="116"/>
      <c r="H28" s="115" t="s">
        <v>127</v>
      </c>
      <c r="I28" s="154">
        <v>45749</v>
      </c>
      <c r="J28" s="274"/>
      <c r="K28" s="125" t="s">
        <v>56</v>
      </c>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24"/>
    </row>
    <row r="29" spans="1:51" s="87" customFormat="1" ht="24.75" hidden="1" customHeight="1" x14ac:dyDescent="0.35">
      <c r="A29" s="92" t="s">
        <v>56</v>
      </c>
      <c r="B29" s="67">
        <v>45749</v>
      </c>
      <c r="C29" s="35" t="s">
        <v>158</v>
      </c>
      <c r="D29" s="39" t="s">
        <v>56</v>
      </c>
      <c r="E29" s="39" t="s">
        <v>56</v>
      </c>
      <c r="F29" s="92" t="s">
        <v>56</v>
      </c>
      <c r="G29" s="92" t="s">
        <v>56</v>
      </c>
      <c r="H29" s="92" t="s">
        <v>56</v>
      </c>
      <c r="I29" s="152" t="s">
        <v>56</v>
      </c>
      <c r="J29" s="117" t="s">
        <v>56</v>
      </c>
      <c r="K29" s="125" t="s">
        <v>56</v>
      </c>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24"/>
    </row>
    <row r="30" spans="1:51" s="87" customFormat="1" ht="24.75" customHeight="1" x14ac:dyDescent="0.35">
      <c r="A30" s="92" t="s">
        <v>159</v>
      </c>
      <c r="B30" s="67">
        <v>45777</v>
      </c>
      <c r="C30" s="115" t="s">
        <v>160</v>
      </c>
      <c r="D30" s="76" t="s">
        <v>161</v>
      </c>
      <c r="E30" s="76" t="s">
        <v>162</v>
      </c>
      <c r="F30" s="73" t="s">
        <v>163</v>
      </c>
      <c r="G30" s="73"/>
      <c r="H30" s="73" t="s">
        <v>164</v>
      </c>
      <c r="I30" s="149">
        <v>45786</v>
      </c>
      <c r="J30" s="113" t="s">
        <v>55</v>
      </c>
      <c r="K30" s="125" t="s">
        <v>56</v>
      </c>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24"/>
    </row>
    <row r="31" spans="1:51" s="87" customFormat="1" ht="29.25" customHeight="1" x14ac:dyDescent="0.35">
      <c r="A31" s="109" t="s">
        <v>165</v>
      </c>
      <c r="B31" s="126">
        <v>45786</v>
      </c>
      <c r="C31" s="129" t="s">
        <v>166</v>
      </c>
      <c r="D31" s="130" t="s">
        <v>167</v>
      </c>
      <c r="E31" s="130" t="s">
        <v>168</v>
      </c>
      <c r="F31" s="72" t="s">
        <v>169</v>
      </c>
      <c r="G31" s="109"/>
      <c r="H31" s="72" t="s">
        <v>170</v>
      </c>
      <c r="I31" s="149">
        <v>45790</v>
      </c>
      <c r="J31" s="113" t="s">
        <v>55</v>
      </c>
      <c r="K31" s="125" t="s">
        <v>56</v>
      </c>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24"/>
    </row>
    <row r="32" spans="1:51" s="87" customFormat="1" ht="24.75" hidden="1" customHeight="1" x14ac:dyDescent="0.35">
      <c r="A32" s="234" t="s">
        <v>56</v>
      </c>
      <c r="B32" s="255">
        <v>45791</v>
      </c>
      <c r="C32" s="35" t="s">
        <v>171</v>
      </c>
      <c r="D32" s="39" t="s">
        <v>172</v>
      </c>
      <c r="E32" s="39" t="s">
        <v>173</v>
      </c>
      <c r="F32" s="243" t="s">
        <v>174</v>
      </c>
      <c r="G32" s="92"/>
      <c r="H32" s="265" t="s">
        <v>175</v>
      </c>
      <c r="I32" s="154">
        <v>45792</v>
      </c>
      <c r="J32" s="113" t="s">
        <v>55</v>
      </c>
      <c r="K32" s="88" t="s">
        <v>56</v>
      </c>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24"/>
    </row>
    <row r="33" spans="1:51" s="87" customFormat="1" ht="24.75" hidden="1" customHeight="1" x14ac:dyDescent="0.35">
      <c r="A33" s="224"/>
      <c r="B33" s="256"/>
      <c r="C33" s="107" t="s">
        <v>176</v>
      </c>
      <c r="D33" s="72" t="s">
        <v>177</v>
      </c>
      <c r="E33" s="72" t="s">
        <v>178</v>
      </c>
      <c r="F33" s="265"/>
      <c r="G33" s="109"/>
      <c r="H33" s="277"/>
      <c r="I33" s="155">
        <v>45792</v>
      </c>
      <c r="J33" s="163" t="s">
        <v>55</v>
      </c>
      <c r="K33" s="127" t="s">
        <v>56</v>
      </c>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24"/>
    </row>
    <row r="34" spans="1:51" s="13" customFormat="1" ht="24.75" hidden="1" customHeight="1" x14ac:dyDescent="0.35">
      <c r="A34" s="92" t="s">
        <v>56</v>
      </c>
      <c r="B34" s="126"/>
      <c r="C34" s="107" t="s">
        <v>179</v>
      </c>
      <c r="D34" s="72" t="s">
        <v>180</v>
      </c>
      <c r="E34" s="72" t="s">
        <v>181</v>
      </c>
      <c r="F34" s="295" t="s">
        <v>182</v>
      </c>
      <c r="G34" s="296"/>
      <c r="H34" s="296"/>
      <c r="I34" s="296"/>
      <c r="J34" s="296"/>
      <c r="K34" s="297"/>
    </row>
    <row r="35" spans="1:51" s="13" customFormat="1" ht="27.75" customHeight="1" x14ac:dyDescent="0.35">
      <c r="A35" s="238" t="s">
        <v>183</v>
      </c>
      <c r="B35" s="255">
        <v>45793</v>
      </c>
      <c r="C35" s="35" t="s">
        <v>184</v>
      </c>
      <c r="D35" s="39" t="s">
        <v>185</v>
      </c>
      <c r="E35" s="39" t="s">
        <v>186</v>
      </c>
      <c r="F35" s="234" t="s">
        <v>187</v>
      </c>
      <c r="G35" s="92"/>
      <c r="H35" s="293" t="s">
        <v>188</v>
      </c>
      <c r="I35" s="251">
        <v>45818</v>
      </c>
      <c r="J35" s="254" t="s">
        <v>55</v>
      </c>
      <c r="K35" s="127" t="s">
        <v>56</v>
      </c>
    </row>
    <row r="36" spans="1:51" ht="27" customHeight="1" x14ac:dyDescent="0.35">
      <c r="A36" s="238"/>
      <c r="B36" s="255"/>
      <c r="C36" s="35" t="s">
        <v>184</v>
      </c>
      <c r="D36" s="39" t="s">
        <v>189</v>
      </c>
      <c r="E36" s="39" t="s">
        <v>190</v>
      </c>
      <c r="F36" s="234"/>
      <c r="G36" s="92"/>
      <c r="H36" s="294"/>
      <c r="I36" s="261"/>
      <c r="J36" s="263"/>
      <c r="K36" s="127" t="s">
        <v>56</v>
      </c>
    </row>
    <row r="37" spans="1:51" ht="27" customHeight="1" x14ac:dyDescent="0.35">
      <c r="A37" s="254"/>
      <c r="B37" s="256"/>
      <c r="C37" s="107" t="s">
        <v>191</v>
      </c>
      <c r="D37" s="72" t="s">
        <v>192</v>
      </c>
      <c r="E37" s="130" t="s">
        <v>193</v>
      </c>
      <c r="F37" s="224"/>
      <c r="G37" s="109"/>
      <c r="H37" s="294"/>
      <c r="I37" s="262"/>
      <c r="J37" s="264"/>
      <c r="K37" s="127" t="s">
        <v>56</v>
      </c>
    </row>
    <row r="38" spans="1:51" ht="29" x14ac:dyDescent="0.35">
      <c r="A38" s="238" t="s">
        <v>194</v>
      </c>
      <c r="B38" s="255">
        <v>45797</v>
      </c>
      <c r="C38" s="35" t="s">
        <v>195</v>
      </c>
      <c r="D38" s="90" t="s">
        <v>196</v>
      </c>
      <c r="E38" s="90" t="s">
        <v>197</v>
      </c>
      <c r="F38" s="243" t="s">
        <v>198</v>
      </c>
      <c r="G38" s="92"/>
      <c r="H38" s="258" t="s">
        <v>199</v>
      </c>
      <c r="I38" s="251">
        <v>45814</v>
      </c>
      <c r="J38" s="254" t="s">
        <v>55</v>
      </c>
      <c r="K38" s="223" t="s">
        <v>56</v>
      </c>
    </row>
    <row r="39" spans="1:51" x14ac:dyDescent="0.35">
      <c r="A39" s="238"/>
      <c r="B39" s="255"/>
      <c r="C39" s="35" t="s">
        <v>184</v>
      </c>
      <c r="D39" s="90" t="s">
        <v>200</v>
      </c>
      <c r="E39" s="90" t="s">
        <v>201</v>
      </c>
      <c r="F39" s="243"/>
      <c r="G39" s="92"/>
      <c r="H39" s="258"/>
      <c r="I39" s="261"/>
      <c r="J39" s="263"/>
      <c r="K39" s="223"/>
    </row>
    <row r="40" spans="1:51" x14ac:dyDescent="0.35">
      <c r="A40" s="238"/>
      <c r="B40" s="255"/>
      <c r="C40" s="35" t="s">
        <v>202</v>
      </c>
      <c r="D40" s="90" t="s">
        <v>203</v>
      </c>
      <c r="E40" s="90" t="s">
        <v>204</v>
      </c>
      <c r="F40" s="243"/>
      <c r="G40" s="92"/>
      <c r="H40" s="258"/>
      <c r="I40" s="262"/>
      <c r="J40" s="264"/>
      <c r="K40" s="223"/>
    </row>
    <row r="41" spans="1:51" x14ac:dyDescent="0.35">
      <c r="A41" s="238" t="s">
        <v>205</v>
      </c>
      <c r="B41" s="255">
        <v>45798</v>
      </c>
      <c r="C41" s="35" t="s">
        <v>206</v>
      </c>
      <c r="D41" s="132" t="s">
        <v>207</v>
      </c>
      <c r="E41" s="90">
        <v>2</v>
      </c>
      <c r="F41" s="234" t="s">
        <v>208</v>
      </c>
      <c r="G41" s="92"/>
      <c r="H41" s="259" t="s">
        <v>209</v>
      </c>
      <c r="I41" s="251">
        <v>45807</v>
      </c>
      <c r="J41" s="254" t="s">
        <v>55</v>
      </c>
      <c r="K41" s="223" t="s">
        <v>159</v>
      </c>
    </row>
    <row r="42" spans="1:51" ht="29" x14ac:dyDescent="0.35">
      <c r="A42" s="238"/>
      <c r="B42" s="255"/>
      <c r="C42" s="35" t="s">
        <v>210</v>
      </c>
      <c r="D42" s="132" t="s">
        <v>211</v>
      </c>
      <c r="E42" s="90">
        <v>4</v>
      </c>
      <c r="F42" s="234"/>
      <c r="G42" s="92"/>
      <c r="H42" s="259"/>
      <c r="I42" s="261"/>
      <c r="J42" s="263"/>
      <c r="K42" s="223"/>
    </row>
    <row r="43" spans="1:51" x14ac:dyDescent="0.35">
      <c r="A43" s="238"/>
      <c r="B43" s="255"/>
      <c r="C43" s="35" t="s">
        <v>212</v>
      </c>
      <c r="D43" s="90" t="s">
        <v>213</v>
      </c>
      <c r="E43" s="90">
        <v>4</v>
      </c>
      <c r="F43" s="234"/>
      <c r="G43" s="92"/>
      <c r="H43" s="259"/>
      <c r="I43" s="261"/>
      <c r="J43" s="263"/>
      <c r="K43" s="223"/>
    </row>
    <row r="44" spans="1:51" ht="29" x14ac:dyDescent="0.35">
      <c r="A44" s="238"/>
      <c r="B44" s="255"/>
      <c r="C44" s="35" t="s">
        <v>214</v>
      </c>
      <c r="D44" s="90" t="s">
        <v>215</v>
      </c>
      <c r="E44" s="90">
        <v>4</v>
      </c>
      <c r="F44" s="234"/>
      <c r="G44" s="92"/>
      <c r="H44" s="259"/>
      <c r="I44" s="261"/>
      <c r="J44" s="263"/>
      <c r="K44" s="223"/>
    </row>
    <row r="45" spans="1:51" ht="29" x14ac:dyDescent="0.35">
      <c r="A45" s="238"/>
      <c r="B45" s="255"/>
      <c r="C45" s="35" t="s">
        <v>216</v>
      </c>
      <c r="D45" s="132" t="s">
        <v>217</v>
      </c>
      <c r="E45" s="90">
        <v>4</v>
      </c>
      <c r="F45" s="234"/>
      <c r="G45" s="92"/>
      <c r="H45" s="259"/>
      <c r="I45" s="261"/>
      <c r="J45" s="263"/>
      <c r="K45" s="223"/>
    </row>
    <row r="46" spans="1:51" x14ac:dyDescent="0.35">
      <c r="A46" s="238"/>
      <c r="B46" s="255"/>
      <c r="C46" s="35" t="s">
        <v>218</v>
      </c>
      <c r="D46" s="90" t="s">
        <v>219</v>
      </c>
      <c r="E46" s="90">
        <v>1</v>
      </c>
      <c r="F46" s="234"/>
      <c r="G46" s="92"/>
      <c r="H46" s="259"/>
      <c r="I46" s="261"/>
      <c r="J46" s="263"/>
      <c r="K46" s="223"/>
    </row>
    <row r="47" spans="1:51" x14ac:dyDescent="0.35">
      <c r="A47" s="238"/>
      <c r="B47" s="255"/>
      <c r="C47" s="35" t="s">
        <v>220</v>
      </c>
      <c r="D47" s="90" t="s">
        <v>221</v>
      </c>
      <c r="E47" s="90">
        <v>2</v>
      </c>
      <c r="F47" s="234"/>
      <c r="G47" s="92"/>
      <c r="H47" s="259"/>
      <c r="I47" s="261"/>
      <c r="J47" s="263"/>
      <c r="K47" s="223"/>
    </row>
    <row r="48" spans="1:51" x14ac:dyDescent="0.35">
      <c r="A48" s="238"/>
      <c r="B48" s="255"/>
      <c r="C48" s="35" t="s">
        <v>222</v>
      </c>
      <c r="D48" s="90" t="s">
        <v>223</v>
      </c>
      <c r="E48" s="90">
        <v>5</v>
      </c>
      <c r="F48" s="234"/>
      <c r="G48" s="92"/>
      <c r="H48" s="259"/>
      <c r="I48" s="261"/>
      <c r="J48" s="263"/>
      <c r="K48" s="223"/>
    </row>
    <row r="49" spans="1:51" x14ac:dyDescent="0.35">
      <c r="A49" s="238"/>
      <c r="B49" s="255"/>
      <c r="C49" s="35" t="s">
        <v>224</v>
      </c>
      <c r="D49" s="90" t="s">
        <v>225</v>
      </c>
      <c r="E49" s="90">
        <v>1</v>
      </c>
      <c r="F49" s="234"/>
      <c r="G49" s="92"/>
      <c r="H49" s="259"/>
      <c r="I49" s="261"/>
      <c r="J49" s="263"/>
      <c r="K49" s="223"/>
    </row>
    <row r="50" spans="1:51" x14ac:dyDescent="0.35">
      <c r="A50" s="238"/>
      <c r="B50" s="255"/>
      <c r="C50" s="117" t="s">
        <v>226</v>
      </c>
      <c r="D50" s="131" t="s">
        <v>227</v>
      </c>
      <c r="E50" s="131">
        <v>1</v>
      </c>
      <c r="F50" s="234"/>
      <c r="G50" s="92"/>
      <c r="H50" s="259"/>
      <c r="I50" s="261"/>
      <c r="J50" s="263"/>
      <c r="K50" s="223"/>
    </row>
    <row r="51" spans="1:51" x14ac:dyDescent="0.35">
      <c r="A51" s="238"/>
      <c r="B51" s="255"/>
      <c r="C51" s="117" t="s">
        <v>228</v>
      </c>
      <c r="D51" s="131" t="s">
        <v>229</v>
      </c>
      <c r="E51" s="131">
        <v>1</v>
      </c>
      <c r="F51" s="234"/>
      <c r="G51" s="92"/>
      <c r="H51" s="259"/>
      <c r="I51" s="261"/>
      <c r="J51" s="263"/>
      <c r="K51" s="223"/>
    </row>
    <row r="52" spans="1:51" x14ac:dyDescent="0.35">
      <c r="A52" s="238"/>
      <c r="B52" s="255"/>
      <c r="C52" s="35" t="s">
        <v>230</v>
      </c>
      <c r="D52" s="132" t="s">
        <v>231</v>
      </c>
      <c r="E52" s="90">
        <v>1</v>
      </c>
      <c r="F52" s="234"/>
      <c r="G52" s="92"/>
      <c r="H52" s="259"/>
      <c r="I52" s="261"/>
      <c r="J52" s="263"/>
      <c r="K52" s="223"/>
    </row>
    <row r="53" spans="1:51" x14ac:dyDescent="0.35">
      <c r="A53" s="254"/>
      <c r="B53" s="256"/>
      <c r="C53" s="107" t="s">
        <v>232</v>
      </c>
      <c r="D53" s="128" t="s">
        <v>233</v>
      </c>
      <c r="E53" s="128">
        <v>1</v>
      </c>
      <c r="F53" s="224"/>
      <c r="G53" s="109"/>
      <c r="H53" s="260"/>
      <c r="I53" s="261"/>
      <c r="J53" s="264"/>
      <c r="K53" s="257"/>
    </row>
    <row r="54" spans="1:51" s="135" customFormat="1" ht="98.25" customHeight="1" x14ac:dyDescent="0.35">
      <c r="A54" s="129" t="s">
        <v>234</v>
      </c>
      <c r="B54" s="143">
        <v>45826</v>
      </c>
      <c r="C54" s="107" t="s">
        <v>235</v>
      </c>
      <c r="D54" s="107" t="s">
        <v>236</v>
      </c>
      <c r="E54" s="107" t="s">
        <v>237</v>
      </c>
      <c r="F54" s="107" t="s">
        <v>238</v>
      </c>
      <c r="G54" s="107"/>
      <c r="H54" s="128" t="s">
        <v>239</v>
      </c>
      <c r="I54" s="150">
        <v>45831</v>
      </c>
      <c r="J54" s="163" t="s">
        <v>55</v>
      </c>
      <c r="K54" s="88" t="s">
        <v>165</v>
      </c>
      <c r="L54" s="134"/>
      <c r="M54" s="134"/>
      <c r="N54" s="134"/>
      <c r="O54" s="134"/>
      <c r="P54" s="134"/>
      <c r="Q54" s="134"/>
      <c r="R54" s="134"/>
      <c r="S54" s="134"/>
      <c r="T54" s="134"/>
      <c r="U54" s="134"/>
      <c r="V54" s="134"/>
      <c r="W54" s="134"/>
      <c r="X54" s="134"/>
      <c r="Y54" s="134"/>
      <c r="Z54" s="134"/>
      <c r="AA54" s="134"/>
      <c r="AB54" s="134"/>
      <c r="AC54" s="134"/>
      <c r="AD54" s="134"/>
      <c r="AE54" s="134"/>
      <c r="AF54" s="134"/>
      <c r="AG54" s="134"/>
      <c r="AH54" s="134"/>
      <c r="AI54" s="134"/>
      <c r="AJ54" s="134"/>
      <c r="AK54" s="134"/>
      <c r="AL54" s="134"/>
      <c r="AM54" s="134"/>
      <c r="AN54" s="134"/>
      <c r="AO54" s="134"/>
      <c r="AP54" s="134"/>
      <c r="AQ54" s="134"/>
      <c r="AR54" s="134"/>
      <c r="AS54" s="134"/>
      <c r="AT54" s="134"/>
      <c r="AU54" s="134"/>
      <c r="AV54" s="134"/>
      <c r="AW54" s="134"/>
      <c r="AX54" s="134"/>
      <c r="AY54" s="134"/>
    </row>
    <row r="55" spans="1:51" ht="24.75" customHeight="1" x14ac:dyDescent="0.35">
      <c r="A55" s="238" t="s">
        <v>240</v>
      </c>
      <c r="B55" s="239">
        <v>45826</v>
      </c>
      <c r="C55" s="92" t="s">
        <v>241</v>
      </c>
      <c r="D55" s="92" t="s">
        <v>242</v>
      </c>
      <c r="E55" s="35" t="s">
        <v>69</v>
      </c>
      <c r="F55" s="243" t="s">
        <v>243</v>
      </c>
      <c r="G55" s="92"/>
      <c r="H55" s="244" t="s">
        <v>244</v>
      </c>
      <c r="I55" s="232">
        <v>45827</v>
      </c>
      <c r="J55" s="242" t="s">
        <v>55</v>
      </c>
      <c r="K55" s="223" t="s">
        <v>183</v>
      </c>
    </row>
    <row r="56" spans="1:51" ht="24.75" customHeight="1" x14ac:dyDescent="0.35">
      <c r="A56" s="238"/>
      <c r="B56" s="239"/>
      <c r="C56" s="92" t="s">
        <v>245</v>
      </c>
      <c r="D56" s="92" t="s">
        <v>246</v>
      </c>
      <c r="E56" s="35" t="s">
        <v>247</v>
      </c>
      <c r="F56" s="243"/>
      <c r="G56" s="92"/>
      <c r="H56" s="244"/>
      <c r="I56" s="233"/>
      <c r="J56" s="242"/>
      <c r="K56" s="223"/>
    </row>
    <row r="57" spans="1:51" ht="24.75" customHeight="1" x14ac:dyDescent="0.35">
      <c r="A57" s="238"/>
      <c r="B57" s="239"/>
      <c r="C57" s="73" t="s">
        <v>248</v>
      </c>
      <c r="D57" s="73" t="s">
        <v>249</v>
      </c>
      <c r="E57" s="115" t="s">
        <v>247</v>
      </c>
      <c r="F57" s="243"/>
      <c r="G57" s="92"/>
      <c r="H57" s="244"/>
      <c r="I57" s="233"/>
      <c r="J57" s="242"/>
      <c r="K57" s="223"/>
    </row>
    <row r="58" spans="1:51" ht="30" customHeight="1" x14ac:dyDescent="0.35">
      <c r="A58" s="245" t="s">
        <v>250</v>
      </c>
      <c r="B58" s="248">
        <v>45853</v>
      </c>
      <c r="C58" s="138" t="s">
        <v>251</v>
      </c>
      <c r="D58" s="76" t="s">
        <v>252</v>
      </c>
      <c r="E58" s="76" t="s">
        <v>253</v>
      </c>
      <c r="F58" s="224" t="s">
        <v>254</v>
      </c>
      <c r="G58" s="92"/>
      <c r="H58" s="227" t="s">
        <v>255</v>
      </c>
      <c r="I58" s="251">
        <v>45848</v>
      </c>
      <c r="J58" s="224" t="s">
        <v>55</v>
      </c>
      <c r="K58" s="240" t="s">
        <v>256</v>
      </c>
    </row>
    <row r="59" spans="1:51" ht="30" customHeight="1" x14ac:dyDescent="0.35">
      <c r="A59" s="246"/>
      <c r="B59" s="249"/>
      <c r="C59" s="138" t="s">
        <v>257</v>
      </c>
      <c r="D59" s="76" t="s">
        <v>258</v>
      </c>
      <c r="E59" s="76" t="s">
        <v>253</v>
      </c>
      <c r="F59" s="225"/>
      <c r="G59" s="92"/>
      <c r="H59" s="228"/>
      <c r="I59" s="252"/>
      <c r="J59" s="225"/>
      <c r="K59" s="240"/>
    </row>
    <row r="60" spans="1:51" ht="30" customHeight="1" x14ac:dyDescent="0.35">
      <c r="A60" s="247"/>
      <c r="B60" s="250"/>
      <c r="C60" s="138" t="s">
        <v>259</v>
      </c>
      <c r="D60" s="76" t="s">
        <v>260</v>
      </c>
      <c r="E60" s="76" t="s">
        <v>253</v>
      </c>
      <c r="F60" s="226"/>
      <c r="G60" s="92"/>
      <c r="H60" s="229"/>
      <c r="I60" s="253"/>
      <c r="J60" s="226"/>
      <c r="K60" s="241"/>
    </row>
    <row r="61" spans="1:51" hidden="1" x14ac:dyDescent="0.35">
      <c r="A61" s="73" t="s">
        <v>56</v>
      </c>
      <c r="B61" s="140"/>
      <c r="C61" s="90"/>
      <c r="D61" s="141"/>
      <c r="E61" s="139"/>
      <c r="F61" s="137"/>
      <c r="G61" s="92"/>
      <c r="H61" s="136"/>
      <c r="I61" s="152"/>
      <c r="J61" s="35"/>
      <c r="K61" s="88"/>
    </row>
    <row r="62" spans="1:51" hidden="1" x14ac:dyDescent="0.35">
      <c r="A62" s="73" t="s">
        <v>56</v>
      </c>
      <c r="B62" s="140">
        <v>45855</v>
      </c>
      <c r="C62" s="35" t="s">
        <v>261</v>
      </c>
      <c r="D62" s="39"/>
      <c r="E62" s="39"/>
      <c r="F62" s="92"/>
      <c r="G62" s="92"/>
      <c r="H62" s="92"/>
      <c r="I62" s="152"/>
      <c r="J62" s="35"/>
      <c r="K62" s="88"/>
    </row>
    <row r="63" spans="1:51" x14ac:dyDescent="0.35">
      <c r="A63" s="238" t="s">
        <v>262</v>
      </c>
      <c r="B63" s="230">
        <v>45894</v>
      </c>
      <c r="C63" s="92" t="s">
        <v>263</v>
      </c>
      <c r="D63" s="92" t="s">
        <v>264</v>
      </c>
      <c r="E63" s="35" t="s">
        <v>265</v>
      </c>
      <c r="F63" s="231" t="s">
        <v>266</v>
      </c>
      <c r="G63" s="92"/>
      <c r="H63" s="231" t="s">
        <v>267</v>
      </c>
      <c r="I63" s="232">
        <v>45898</v>
      </c>
      <c r="J63" s="234" t="s">
        <v>55</v>
      </c>
      <c r="K63" s="223" t="s">
        <v>194</v>
      </c>
    </row>
    <row r="64" spans="1:51" x14ac:dyDescent="0.35">
      <c r="A64" s="238"/>
      <c r="B64" s="230"/>
      <c r="C64" s="92" t="s">
        <v>268</v>
      </c>
      <c r="D64" s="92" t="s">
        <v>269</v>
      </c>
      <c r="E64" s="35" t="s">
        <v>270</v>
      </c>
      <c r="F64" s="231"/>
      <c r="G64" s="92"/>
      <c r="H64" s="231"/>
      <c r="I64" s="233"/>
      <c r="J64" s="234"/>
      <c r="K64" s="223"/>
    </row>
    <row r="65" spans="1:12" x14ac:dyDescent="0.35">
      <c r="A65" s="238"/>
      <c r="B65" s="230"/>
      <c r="C65" s="92" t="s">
        <v>268</v>
      </c>
      <c r="D65" s="92" t="s">
        <v>271</v>
      </c>
      <c r="E65" s="35" t="s">
        <v>272</v>
      </c>
      <c r="F65" s="231"/>
      <c r="G65" s="92"/>
      <c r="H65" s="231"/>
      <c r="I65" s="233"/>
      <c r="J65" s="234"/>
      <c r="K65" s="223"/>
    </row>
    <row r="66" spans="1:12" x14ac:dyDescent="0.35">
      <c r="A66" s="238"/>
      <c r="B66" s="230"/>
      <c r="C66" s="92" t="s">
        <v>273</v>
      </c>
      <c r="D66" s="92" t="s">
        <v>274</v>
      </c>
      <c r="E66" s="35" t="s">
        <v>275</v>
      </c>
      <c r="F66" s="231"/>
      <c r="G66" s="92"/>
      <c r="H66" s="231"/>
      <c r="I66" s="233"/>
      <c r="J66" s="234"/>
      <c r="K66" s="223"/>
    </row>
    <row r="67" spans="1:12" x14ac:dyDescent="0.35">
      <c r="A67" s="238"/>
      <c r="B67" s="230"/>
      <c r="C67" s="92" t="s">
        <v>276</v>
      </c>
      <c r="D67" s="92" t="s">
        <v>277</v>
      </c>
      <c r="E67" s="35" t="s">
        <v>278</v>
      </c>
      <c r="F67" s="231"/>
      <c r="G67" s="92"/>
      <c r="H67" s="231"/>
      <c r="I67" s="233"/>
      <c r="J67" s="234"/>
      <c r="K67" s="223"/>
    </row>
    <row r="68" spans="1:12" x14ac:dyDescent="0.35">
      <c r="A68" s="238"/>
      <c r="B68" s="230"/>
      <c r="C68" s="92" t="s">
        <v>279</v>
      </c>
      <c r="D68" s="92" t="s">
        <v>280</v>
      </c>
      <c r="E68" s="35" t="s">
        <v>281</v>
      </c>
      <c r="F68" s="231"/>
      <c r="G68" s="92"/>
      <c r="H68" s="231"/>
      <c r="I68" s="233"/>
      <c r="J68" s="234"/>
      <c r="K68" s="223"/>
    </row>
    <row r="69" spans="1:12" hidden="1" x14ac:dyDescent="0.35">
      <c r="A69" s="142" t="s">
        <v>56</v>
      </c>
      <c r="B69" s="140"/>
      <c r="C69" s="35"/>
      <c r="D69" s="39"/>
      <c r="E69" s="39"/>
      <c r="F69" s="92"/>
      <c r="G69" s="92"/>
      <c r="H69" s="92"/>
      <c r="I69" s="152"/>
      <c r="J69" s="35"/>
      <c r="K69" s="88"/>
    </row>
    <row r="70" spans="1:12" hidden="1" x14ac:dyDescent="0.35">
      <c r="A70" s="157" t="s">
        <v>56</v>
      </c>
      <c r="B70" s="158">
        <v>45903</v>
      </c>
      <c r="C70" s="107" t="s">
        <v>282</v>
      </c>
      <c r="D70" s="72"/>
      <c r="E70" s="72" t="s">
        <v>283</v>
      </c>
      <c r="F70" s="133"/>
      <c r="G70" s="133"/>
      <c r="H70" s="133"/>
      <c r="I70" s="153"/>
      <c r="J70" s="118"/>
      <c r="K70" s="159"/>
      <c r="L70" s="13" t="s">
        <v>284</v>
      </c>
    </row>
    <row r="71" spans="1:12" ht="24.75" customHeight="1" x14ac:dyDescent="0.35">
      <c r="A71" s="175" t="s">
        <v>285</v>
      </c>
      <c r="B71" s="165">
        <v>45897</v>
      </c>
      <c r="C71" s="107" t="s">
        <v>286</v>
      </c>
      <c r="D71" s="128">
        <v>11061758</v>
      </c>
      <c r="E71" s="164">
        <v>1</v>
      </c>
      <c r="F71" s="109" t="s">
        <v>287</v>
      </c>
      <c r="G71" s="109"/>
      <c r="H71" s="109"/>
      <c r="I71" s="153"/>
      <c r="J71" s="107"/>
      <c r="K71" s="127"/>
    </row>
    <row r="72" spans="1:12" ht="24.75" customHeight="1" x14ac:dyDescent="0.35">
      <c r="A72" s="238" t="s">
        <v>288</v>
      </c>
      <c r="B72" s="167" t="s">
        <v>289</v>
      </c>
      <c r="C72" s="115" t="s">
        <v>290</v>
      </c>
      <c r="D72" s="138" t="s">
        <v>269</v>
      </c>
      <c r="E72" s="238" t="s">
        <v>291</v>
      </c>
      <c r="F72" s="238"/>
      <c r="G72" s="238"/>
      <c r="H72" s="238"/>
      <c r="I72" s="235">
        <v>45939</v>
      </c>
      <c r="J72" s="298" t="s">
        <v>55</v>
      </c>
      <c r="K72" s="300" t="s">
        <v>205</v>
      </c>
    </row>
    <row r="73" spans="1:12" ht="24.75" customHeight="1" x14ac:dyDescent="0.35">
      <c r="A73" s="238"/>
      <c r="B73" s="167">
        <v>45896</v>
      </c>
      <c r="C73" s="76" t="s">
        <v>292</v>
      </c>
      <c r="D73" s="138" t="s">
        <v>293</v>
      </c>
      <c r="E73" s="238" t="s">
        <v>291</v>
      </c>
      <c r="F73" s="238"/>
      <c r="G73" s="238"/>
      <c r="H73" s="238"/>
      <c r="I73" s="236"/>
      <c r="J73" s="298"/>
      <c r="K73" s="300"/>
    </row>
    <row r="74" spans="1:12" ht="24.75" customHeight="1" x14ac:dyDescent="0.35">
      <c r="A74" s="238"/>
      <c r="B74" s="167">
        <v>45896</v>
      </c>
      <c r="C74" s="76" t="s">
        <v>294</v>
      </c>
      <c r="D74" s="138" t="s">
        <v>295</v>
      </c>
      <c r="E74" s="238" t="s">
        <v>291</v>
      </c>
      <c r="F74" s="238"/>
      <c r="G74" s="238"/>
      <c r="H74" s="238"/>
      <c r="I74" s="236"/>
      <c r="J74" s="298"/>
      <c r="K74" s="300"/>
    </row>
    <row r="75" spans="1:12" ht="24.75" customHeight="1" x14ac:dyDescent="0.35">
      <c r="A75" s="238"/>
      <c r="B75" s="167">
        <v>45896</v>
      </c>
      <c r="C75" s="76" t="s">
        <v>296</v>
      </c>
      <c r="D75" s="138" t="s">
        <v>295</v>
      </c>
      <c r="E75" s="238" t="s">
        <v>291</v>
      </c>
      <c r="F75" s="238"/>
      <c r="G75" s="238"/>
      <c r="H75" s="238"/>
      <c r="I75" s="236"/>
      <c r="J75" s="298"/>
      <c r="K75" s="300"/>
    </row>
    <row r="76" spans="1:12" ht="24.75" customHeight="1" x14ac:dyDescent="0.35">
      <c r="A76" s="238"/>
      <c r="B76" s="167">
        <v>45896</v>
      </c>
      <c r="C76" s="168" t="s">
        <v>297</v>
      </c>
      <c r="D76" s="138" t="s">
        <v>298</v>
      </c>
      <c r="E76" s="238" t="s">
        <v>291</v>
      </c>
      <c r="F76" s="238"/>
      <c r="G76" s="238"/>
      <c r="H76" s="238"/>
      <c r="I76" s="236"/>
      <c r="J76" s="298"/>
      <c r="K76" s="300"/>
    </row>
    <row r="77" spans="1:12" ht="24.75" customHeight="1" x14ac:dyDescent="0.35">
      <c r="A77" s="238"/>
      <c r="B77" s="167">
        <v>45896</v>
      </c>
      <c r="C77" s="168" t="s">
        <v>299</v>
      </c>
      <c r="D77" s="138" t="s">
        <v>295</v>
      </c>
      <c r="E77" s="238" t="s">
        <v>291</v>
      </c>
      <c r="F77" s="238"/>
      <c r="G77" s="238"/>
      <c r="H77" s="238"/>
      <c r="I77" s="236"/>
      <c r="J77" s="298"/>
      <c r="K77" s="300"/>
    </row>
    <row r="78" spans="1:12" ht="24.75" customHeight="1" x14ac:dyDescent="0.35">
      <c r="A78" s="238"/>
      <c r="B78" s="167">
        <v>45896</v>
      </c>
      <c r="C78" s="168" t="s">
        <v>299</v>
      </c>
      <c r="D78" s="138" t="s">
        <v>295</v>
      </c>
      <c r="E78" s="238" t="s">
        <v>291</v>
      </c>
      <c r="F78" s="238"/>
      <c r="G78" s="238"/>
      <c r="H78" s="238"/>
      <c r="I78" s="236"/>
      <c r="J78" s="298"/>
      <c r="K78" s="300"/>
    </row>
    <row r="79" spans="1:12" ht="24.75" customHeight="1" x14ac:dyDescent="0.35">
      <c r="A79" s="254"/>
      <c r="B79" s="171" t="s">
        <v>300</v>
      </c>
      <c r="C79" s="172" t="s">
        <v>301</v>
      </c>
      <c r="D79" s="245" t="s">
        <v>291</v>
      </c>
      <c r="E79" s="245"/>
      <c r="F79" s="245"/>
      <c r="G79" s="245"/>
      <c r="H79" s="245"/>
      <c r="I79" s="237"/>
      <c r="J79" s="299"/>
      <c r="K79" s="301"/>
    </row>
    <row r="80" spans="1:12" ht="27.75" hidden="1" customHeight="1" x14ac:dyDescent="0.35">
      <c r="A80" s="92" t="s">
        <v>302</v>
      </c>
      <c r="B80" s="140">
        <v>45946</v>
      </c>
      <c r="C80" s="90" t="s">
        <v>303</v>
      </c>
      <c r="D80" s="39" t="s">
        <v>304</v>
      </c>
      <c r="E80" s="39" t="s">
        <v>305</v>
      </c>
      <c r="F80" s="92" t="s">
        <v>306</v>
      </c>
      <c r="G80" s="92"/>
      <c r="H80" s="39" t="s">
        <v>307</v>
      </c>
      <c r="I80" s="174"/>
      <c r="J80" s="35"/>
      <c r="K80" s="88"/>
    </row>
    <row r="81" spans="1:11" x14ac:dyDescent="0.35">
      <c r="A81" s="224" t="s">
        <v>308</v>
      </c>
      <c r="B81" s="248">
        <v>45946</v>
      </c>
      <c r="C81" s="90" t="s">
        <v>309</v>
      </c>
      <c r="D81" s="39" t="s">
        <v>304</v>
      </c>
      <c r="E81" s="39" t="s">
        <v>310</v>
      </c>
      <c r="F81" s="224" t="s">
        <v>311</v>
      </c>
      <c r="G81" s="92"/>
      <c r="H81" s="293"/>
      <c r="I81" s="220">
        <v>45954</v>
      </c>
      <c r="J81" s="35"/>
      <c r="K81" s="88"/>
    </row>
    <row r="82" spans="1:11" x14ac:dyDescent="0.35">
      <c r="A82" s="225"/>
      <c r="B82" s="249"/>
      <c r="C82" s="90" t="s">
        <v>312</v>
      </c>
      <c r="D82" s="39" t="s">
        <v>304</v>
      </c>
      <c r="E82" s="39" t="s">
        <v>313</v>
      </c>
      <c r="F82" s="225"/>
      <c r="G82" s="92"/>
      <c r="H82" s="294"/>
      <c r="I82" s="221"/>
      <c r="J82" s="35"/>
      <c r="K82" s="88"/>
    </row>
    <row r="83" spans="1:11" x14ac:dyDescent="0.35">
      <c r="A83" s="225"/>
      <c r="B83" s="249"/>
      <c r="C83" s="90" t="s">
        <v>314</v>
      </c>
      <c r="D83" s="39" t="s">
        <v>304</v>
      </c>
      <c r="E83" s="39" t="s">
        <v>315</v>
      </c>
      <c r="F83" s="225"/>
      <c r="G83" s="92"/>
      <c r="H83" s="294"/>
      <c r="I83" s="221"/>
      <c r="J83" s="35"/>
      <c r="K83" s="88"/>
    </row>
    <row r="84" spans="1:11" x14ac:dyDescent="0.35">
      <c r="A84" s="226"/>
      <c r="B84" s="250"/>
      <c r="C84" s="90" t="s">
        <v>316</v>
      </c>
      <c r="D84" s="39" t="s">
        <v>304</v>
      </c>
      <c r="E84" s="39" t="s">
        <v>317</v>
      </c>
      <c r="F84" s="226"/>
      <c r="G84" s="92"/>
      <c r="H84" s="302"/>
      <c r="I84" s="222"/>
      <c r="J84" s="35"/>
      <c r="K84" s="88"/>
    </row>
    <row r="85" spans="1:11" x14ac:dyDescent="0.35">
      <c r="A85" s="92" t="s">
        <v>318</v>
      </c>
      <c r="B85" s="140">
        <v>45951</v>
      </c>
      <c r="C85" s="35" t="s">
        <v>319</v>
      </c>
      <c r="D85" s="39" t="s">
        <v>320</v>
      </c>
      <c r="E85" s="39" t="s">
        <v>321</v>
      </c>
      <c r="F85" s="92" t="s">
        <v>322</v>
      </c>
      <c r="G85" s="92"/>
      <c r="H85" s="92"/>
      <c r="I85" s="173">
        <v>45965</v>
      </c>
      <c r="J85" s="35"/>
      <c r="K85" s="88"/>
    </row>
    <row r="86" spans="1:11" x14ac:dyDescent="0.35">
      <c r="A86" s="62"/>
      <c r="B86" s="166"/>
      <c r="C86" s="170"/>
      <c r="D86" s="63"/>
      <c r="E86" s="63"/>
      <c r="F86" s="62"/>
      <c r="G86" s="62"/>
      <c r="H86" s="62"/>
      <c r="I86" s="169"/>
      <c r="J86" s="170"/>
    </row>
  </sheetData>
  <mergeCells count="85">
    <mergeCell ref="A63:A68"/>
    <mergeCell ref="J72:J79"/>
    <mergeCell ref="K72:K79"/>
    <mergeCell ref="F81:F84"/>
    <mergeCell ref="A81:A84"/>
    <mergeCell ref="B81:B84"/>
    <mergeCell ref="H81:H84"/>
    <mergeCell ref="A72:A79"/>
    <mergeCell ref="D79:H79"/>
    <mergeCell ref="E72:H72"/>
    <mergeCell ref="E74:H74"/>
    <mergeCell ref="E75:H75"/>
    <mergeCell ref="E76:H76"/>
    <mergeCell ref="E77:H77"/>
    <mergeCell ref="E78:H78"/>
    <mergeCell ref="E73:H73"/>
    <mergeCell ref="K14:K17"/>
    <mergeCell ref="H14:H17"/>
    <mergeCell ref="A14:A17"/>
    <mergeCell ref="F14:F17"/>
    <mergeCell ref="H35:H37"/>
    <mergeCell ref="I35:I37"/>
    <mergeCell ref="J35:J37"/>
    <mergeCell ref="F34:K34"/>
    <mergeCell ref="F35:F37"/>
    <mergeCell ref="A35:A37"/>
    <mergeCell ref="B35:B37"/>
    <mergeCell ref="K6:K8"/>
    <mergeCell ref="H4:H5"/>
    <mergeCell ref="I4:I5"/>
    <mergeCell ref="J4:J5"/>
    <mergeCell ref="H11:H12"/>
    <mergeCell ref="I11:I12"/>
    <mergeCell ref="A1:J1"/>
    <mergeCell ref="A2:J2"/>
    <mergeCell ref="A6:A8"/>
    <mergeCell ref="B6:B8"/>
    <mergeCell ref="F6:F8"/>
    <mergeCell ref="F11:F12"/>
    <mergeCell ref="I14:I17"/>
    <mergeCell ref="J14:J17"/>
    <mergeCell ref="A32:A33"/>
    <mergeCell ref="B32:B33"/>
    <mergeCell ref="F32:F33"/>
    <mergeCell ref="F24:F28"/>
    <mergeCell ref="J24:J28"/>
    <mergeCell ref="A24:A28"/>
    <mergeCell ref="B24:B28"/>
    <mergeCell ref="H32:H33"/>
    <mergeCell ref="A41:A53"/>
    <mergeCell ref="B41:B53"/>
    <mergeCell ref="F38:F40"/>
    <mergeCell ref="F41:F53"/>
    <mergeCell ref="K38:K40"/>
    <mergeCell ref="K41:K53"/>
    <mergeCell ref="H38:H40"/>
    <mergeCell ref="H41:H53"/>
    <mergeCell ref="I38:I40"/>
    <mergeCell ref="I41:I53"/>
    <mergeCell ref="J38:J40"/>
    <mergeCell ref="J41:J53"/>
    <mergeCell ref="A38:A40"/>
    <mergeCell ref="B38:B40"/>
    <mergeCell ref="A55:A57"/>
    <mergeCell ref="B55:B57"/>
    <mergeCell ref="I55:I57"/>
    <mergeCell ref="K58:K60"/>
    <mergeCell ref="J55:J57"/>
    <mergeCell ref="F55:F57"/>
    <mergeCell ref="H55:H57"/>
    <mergeCell ref="K55:K57"/>
    <mergeCell ref="A58:A60"/>
    <mergeCell ref="B58:B60"/>
    <mergeCell ref="I58:I60"/>
    <mergeCell ref="J58:J60"/>
    <mergeCell ref="I81:I84"/>
    <mergeCell ref="K63:K68"/>
    <mergeCell ref="F58:F60"/>
    <mergeCell ref="H58:H60"/>
    <mergeCell ref="B63:B68"/>
    <mergeCell ref="F63:F68"/>
    <mergeCell ref="H63:H68"/>
    <mergeCell ref="I63:I68"/>
    <mergeCell ref="J63:J68"/>
    <mergeCell ref="I72:I7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09B6-C8BF-4EB2-8C82-DCF1402BD482}">
  <sheetPr>
    <tabColor rgb="FF92D050"/>
    <pageSetUpPr fitToPage="1"/>
  </sheetPr>
  <dimension ref="A1:O1008"/>
  <sheetViews>
    <sheetView view="pageLayout" zoomScaleNormal="100" workbookViewId="0">
      <selection activeCell="D10" sqref="D10"/>
    </sheetView>
  </sheetViews>
  <sheetFormatPr defaultColWidth="14.453125" defaultRowHeight="15" customHeight="1" x14ac:dyDescent="0.35"/>
  <cols>
    <col min="1" max="1" width="8.54296875" style="61" customWidth="1"/>
    <col min="2" max="2" width="10.81640625" style="61" customWidth="1"/>
    <col min="3" max="3" width="21.1796875" style="61" customWidth="1"/>
    <col min="4" max="4" width="35.54296875" style="61" customWidth="1"/>
    <col min="5" max="5" width="16" style="61" customWidth="1"/>
    <col min="6" max="6" width="21.1796875" style="61" customWidth="1"/>
    <col min="7" max="7" width="25.26953125" style="61" hidden="1" customWidth="1"/>
    <col min="8" max="8" width="65.54296875" style="61" customWidth="1"/>
    <col min="9" max="9" width="12.26953125" style="61" customWidth="1"/>
    <col min="10" max="10" width="9.54296875" style="61" customWidth="1"/>
    <col min="11" max="11" width="25.26953125" style="27" customWidth="1"/>
    <col min="12" max="16384" width="14.453125" style="61"/>
  </cols>
  <sheetData>
    <row r="1" spans="1:15" ht="12.75" customHeight="1" x14ac:dyDescent="0.35">
      <c r="A1" s="216" t="s">
        <v>0</v>
      </c>
      <c r="B1" s="217"/>
      <c r="C1" s="217"/>
      <c r="D1" s="217"/>
      <c r="E1" s="217"/>
      <c r="F1" s="217"/>
      <c r="G1" s="217"/>
      <c r="H1" s="217"/>
      <c r="I1" s="217"/>
      <c r="J1" s="217"/>
      <c r="K1" s="26"/>
      <c r="L1" s="60"/>
      <c r="M1" s="60"/>
      <c r="N1" s="60"/>
      <c r="O1" s="60"/>
    </row>
    <row r="2" spans="1:15" ht="26.25" customHeight="1" x14ac:dyDescent="0.35">
      <c r="A2" s="218" t="s">
        <v>1</v>
      </c>
      <c r="B2" s="219"/>
      <c r="C2" s="219"/>
      <c r="D2" s="219"/>
      <c r="E2" s="219"/>
      <c r="F2" s="219"/>
      <c r="G2" s="219"/>
      <c r="H2" s="219"/>
      <c r="I2" s="219"/>
      <c r="J2" s="219"/>
      <c r="K2" s="28"/>
    </row>
    <row r="3" spans="1:15" ht="37.5" customHeight="1" x14ac:dyDescent="0.35">
      <c r="A3" s="33" t="s">
        <v>38</v>
      </c>
      <c r="B3" s="2" t="s">
        <v>39</v>
      </c>
      <c r="C3" s="2" t="s">
        <v>40</v>
      </c>
      <c r="D3" s="2" t="s">
        <v>41</v>
      </c>
      <c r="E3" s="2" t="s">
        <v>42</v>
      </c>
      <c r="F3" s="2" t="s">
        <v>43</v>
      </c>
      <c r="G3" s="2" t="s">
        <v>44</v>
      </c>
      <c r="H3" s="2" t="s">
        <v>45</v>
      </c>
      <c r="I3" s="2" t="s">
        <v>46</v>
      </c>
      <c r="J3" s="80" t="s">
        <v>47</v>
      </c>
      <c r="K3" s="29" t="s">
        <v>323</v>
      </c>
      <c r="L3" s="62"/>
    </row>
    <row r="4" spans="1:15" ht="32.25" customHeight="1" x14ac:dyDescent="0.35">
      <c r="A4" s="36" t="s">
        <v>324</v>
      </c>
      <c r="B4" s="22">
        <v>45294</v>
      </c>
      <c r="C4" s="20" t="s">
        <v>325</v>
      </c>
      <c r="D4" s="35" t="s">
        <v>326</v>
      </c>
      <c r="E4" s="20">
        <v>1</v>
      </c>
      <c r="F4" s="20" t="s">
        <v>327</v>
      </c>
      <c r="G4" s="21" t="s">
        <v>328</v>
      </c>
      <c r="H4" s="52" t="s">
        <v>329</v>
      </c>
      <c r="I4" s="23" t="s">
        <v>330</v>
      </c>
      <c r="J4" s="81" t="s">
        <v>55</v>
      </c>
      <c r="K4" s="30" t="s">
        <v>56</v>
      </c>
      <c r="L4" s="62"/>
    </row>
    <row r="5" spans="1:15" ht="88.5" customHeight="1" x14ac:dyDescent="0.35">
      <c r="A5" s="37" t="s">
        <v>331</v>
      </c>
      <c r="B5" s="10">
        <v>45301</v>
      </c>
      <c r="C5" s="12" t="s">
        <v>332</v>
      </c>
      <c r="D5" s="9" t="s">
        <v>333</v>
      </c>
      <c r="E5" s="12" t="s">
        <v>334</v>
      </c>
      <c r="F5" s="9" t="s">
        <v>335</v>
      </c>
      <c r="G5" s="9" t="s">
        <v>336</v>
      </c>
      <c r="H5" s="52" t="s">
        <v>337</v>
      </c>
      <c r="I5" s="24" t="s">
        <v>338</v>
      </c>
      <c r="J5" s="82" t="s">
        <v>55</v>
      </c>
      <c r="K5" s="31" t="s">
        <v>339</v>
      </c>
      <c r="L5" s="62"/>
    </row>
    <row r="6" spans="1:15" ht="30.75" customHeight="1" x14ac:dyDescent="0.35">
      <c r="A6" s="37" t="s">
        <v>340</v>
      </c>
      <c r="B6" s="10">
        <v>45302</v>
      </c>
      <c r="C6" s="12" t="s">
        <v>341</v>
      </c>
      <c r="D6" s="12" t="s">
        <v>56</v>
      </c>
      <c r="E6" s="12" t="s">
        <v>342</v>
      </c>
      <c r="F6" s="9" t="s">
        <v>343</v>
      </c>
      <c r="G6" s="9" t="s">
        <v>344</v>
      </c>
      <c r="H6" s="52" t="s">
        <v>345</v>
      </c>
      <c r="I6" s="34">
        <v>45328</v>
      </c>
      <c r="J6" s="82" t="s">
        <v>55</v>
      </c>
      <c r="K6" s="30" t="s">
        <v>56</v>
      </c>
      <c r="L6" s="62"/>
    </row>
    <row r="7" spans="1:15" ht="51" customHeight="1" x14ac:dyDescent="0.35">
      <c r="A7" s="37" t="s">
        <v>346</v>
      </c>
      <c r="B7" s="10">
        <v>45308</v>
      </c>
      <c r="C7" s="12" t="s">
        <v>332</v>
      </c>
      <c r="D7" s="25" t="s">
        <v>347</v>
      </c>
      <c r="E7" s="12" t="s">
        <v>66</v>
      </c>
      <c r="F7" s="9" t="s">
        <v>335</v>
      </c>
      <c r="G7" s="9" t="s">
        <v>336</v>
      </c>
      <c r="H7" s="52" t="s">
        <v>348</v>
      </c>
      <c r="I7" s="12" t="s">
        <v>349</v>
      </c>
      <c r="J7" s="4" t="s">
        <v>55</v>
      </c>
      <c r="K7" s="31" t="s">
        <v>331</v>
      </c>
      <c r="L7" s="62"/>
    </row>
    <row r="8" spans="1:15" ht="60" customHeight="1" x14ac:dyDescent="0.35">
      <c r="A8" s="37" t="s">
        <v>350</v>
      </c>
      <c r="B8" s="10">
        <v>45324</v>
      </c>
      <c r="C8" s="12" t="s">
        <v>332</v>
      </c>
      <c r="D8" s="25" t="s">
        <v>351</v>
      </c>
      <c r="E8" s="12" t="s">
        <v>253</v>
      </c>
      <c r="F8" s="9" t="s">
        <v>335</v>
      </c>
      <c r="G8" s="9" t="s">
        <v>336</v>
      </c>
      <c r="H8" s="53" t="s">
        <v>352</v>
      </c>
      <c r="I8" s="34">
        <v>45338</v>
      </c>
      <c r="J8" s="4" t="s">
        <v>55</v>
      </c>
      <c r="K8" s="31" t="s">
        <v>340</v>
      </c>
      <c r="L8" s="62"/>
    </row>
    <row r="9" spans="1:15" ht="68.25" customHeight="1" x14ac:dyDescent="0.35">
      <c r="A9" s="37" t="s">
        <v>353</v>
      </c>
      <c r="B9" s="10">
        <v>45329</v>
      </c>
      <c r="C9" s="12" t="s">
        <v>354</v>
      </c>
      <c r="D9" s="25" t="s">
        <v>355</v>
      </c>
      <c r="E9" s="12" t="s">
        <v>105</v>
      </c>
      <c r="F9" s="9" t="s">
        <v>335</v>
      </c>
      <c r="G9" s="8" t="s">
        <v>356</v>
      </c>
      <c r="H9" s="54" t="s">
        <v>357</v>
      </c>
      <c r="I9" s="34">
        <v>45331</v>
      </c>
      <c r="J9" s="4" t="s">
        <v>55</v>
      </c>
      <c r="K9" s="32" t="s">
        <v>346</v>
      </c>
      <c r="L9" s="62"/>
    </row>
    <row r="10" spans="1:15" ht="57.75" customHeight="1" x14ac:dyDescent="0.35">
      <c r="A10" s="37" t="s">
        <v>358</v>
      </c>
      <c r="B10" s="10">
        <v>45336</v>
      </c>
      <c r="C10" s="12" t="s">
        <v>354</v>
      </c>
      <c r="D10" s="24" t="s">
        <v>359</v>
      </c>
      <c r="E10" s="12" t="s">
        <v>247</v>
      </c>
      <c r="F10" s="9" t="s">
        <v>335</v>
      </c>
      <c r="G10" s="8" t="s">
        <v>356</v>
      </c>
      <c r="H10" s="54" t="s">
        <v>360</v>
      </c>
      <c r="I10" s="34">
        <v>45338</v>
      </c>
      <c r="J10" s="4" t="s">
        <v>55</v>
      </c>
      <c r="K10" s="32" t="s">
        <v>350</v>
      </c>
      <c r="L10" s="62"/>
    </row>
    <row r="11" spans="1:15" ht="59.25" customHeight="1" x14ac:dyDescent="0.35">
      <c r="A11" s="37" t="s">
        <v>361</v>
      </c>
      <c r="B11" s="10">
        <v>45345</v>
      </c>
      <c r="C11" s="12" t="s">
        <v>354</v>
      </c>
      <c r="D11" s="24" t="s">
        <v>362</v>
      </c>
      <c r="E11" s="12" t="s">
        <v>247</v>
      </c>
      <c r="F11" s="9" t="s">
        <v>335</v>
      </c>
      <c r="G11" s="8" t="s">
        <v>356</v>
      </c>
      <c r="H11" s="54" t="s">
        <v>363</v>
      </c>
      <c r="I11" s="10">
        <v>45345</v>
      </c>
      <c r="J11" s="4" t="s">
        <v>55</v>
      </c>
      <c r="K11" s="32" t="s">
        <v>353</v>
      </c>
      <c r="L11" s="62"/>
    </row>
    <row r="12" spans="1:15" ht="65.25" customHeight="1" x14ac:dyDescent="0.35">
      <c r="A12" s="37" t="s">
        <v>364</v>
      </c>
      <c r="B12" s="10">
        <v>45365</v>
      </c>
      <c r="C12" s="12" t="s">
        <v>354</v>
      </c>
      <c r="D12" s="4" t="s">
        <v>365</v>
      </c>
      <c r="E12" s="4" t="s">
        <v>69</v>
      </c>
      <c r="F12" s="9" t="s">
        <v>335</v>
      </c>
      <c r="G12" s="8" t="s">
        <v>356</v>
      </c>
      <c r="H12" s="55" t="s">
        <v>366</v>
      </c>
      <c r="I12" s="10">
        <v>45366</v>
      </c>
      <c r="J12" s="4" t="s">
        <v>55</v>
      </c>
      <c r="K12" s="32" t="s">
        <v>358</v>
      </c>
      <c r="L12" s="62"/>
    </row>
    <row r="13" spans="1:15" ht="65.25" customHeight="1" x14ac:dyDescent="0.35">
      <c r="A13" s="41" t="s">
        <v>367</v>
      </c>
      <c r="B13" s="42">
        <v>45372</v>
      </c>
      <c r="C13" s="45" t="s">
        <v>368</v>
      </c>
      <c r="D13" s="44" t="s">
        <v>369</v>
      </c>
      <c r="E13" s="44" t="s">
        <v>370</v>
      </c>
      <c r="F13" s="45" t="s">
        <v>371</v>
      </c>
      <c r="G13" s="46"/>
      <c r="H13" s="70" t="s">
        <v>372</v>
      </c>
      <c r="I13" s="42">
        <v>45523</v>
      </c>
      <c r="J13" s="4" t="s">
        <v>55</v>
      </c>
      <c r="K13" s="30" t="s">
        <v>56</v>
      </c>
      <c r="L13" s="62"/>
    </row>
    <row r="14" spans="1:15" ht="81" customHeight="1" x14ac:dyDescent="0.35">
      <c r="A14" s="41" t="s">
        <v>373</v>
      </c>
      <c r="B14" s="42">
        <v>45372</v>
      </c>
      <c r="C14" s="43" t="s">
        <v>354</v>
      </c>
      <c r="D14" s="44" t="s">
        <v>374</v>
      </c>
      <c r="E14" s="44" t="s">
        <v>69</v>
      </c>
      <c r="F14" s="45" t="s">
        <v>335</v>
      </c>
      <c r="G14" s="46" t="s">
        <v>356</v>
      </c>
      <c r="H14" s="56" t="s">
        <v>375</v>
      </c>
      <c r="I14" s="42">
        <v>45373</v>
      </c>
      <c r="J14" s="44" t="s">
        <v>55</v>
      </c>
      <c r="K14" s="38" t="s">
        <v>361</v>
      </c>
      <c r="L14" s="62"/>
    </row>
    <row r="15" spans="1:15" ht="35.25" customHeight="1" x14ac:dyDescent="0.35">
      <c r="A15" s="7"/>
      <c r="B15" s="50">
        <v>45467</v>
      </c>
      <c r="C15" s="4" t="s">
        <v>376</v>
      </c>
      <c r="D15" s="4" t="s">
        <v>377</v>
      </c>
      <c r="E15" s="4" t="s">
        <v>247</v>
      </c>
      <c r="F15" s="8" t="s">
        <v>378</v>
      </c>
      <c r="G15" s="4"/>
      <c r="H15" s="57"/>
      <c r="I15" s="4"/>
      <c r="J15" s="4"/>
      <c r="K15" s="30"/>
      <c r="L15" s="62"/>
    </row>
    <row r="16" spans="1:15" ht="35.25" customHeight="1" x14ac:dyDescent="0.35">
      <c r="A16" s="7"/>
      <c r="B16" s="50">
        <v>45471</v>
      </c>
      <c r="C16" s="4" t="s">
        <v>379</v>
      </c>
      <c r="D16" s="4" t="s">
        <v>380</v>
      </c>
      <c r="E16" s="8" t="s">
        <v>381</v>
      </c>
      <c r="F16" s="8" t="s">
        <v>382</v>
      </c>
      <c r="G16" s="4"/>
      <c r="H16" s="57"/>
      <c r="I16" s="4"/>
      <c r="J16" s="4"/>
      <c r="K16" s="30"/>
      <c r="L16" s="62"/>
    </row>
    <row r="17" spans="1:12" ht="95.25" customHeight="1" x14ac:dyDescent="0.35">
      <c r="A17" s="7" t="s">
        <v>383</v>
      </c>
      <c r="B17" s="66">
        <v>45476</v>
      </c>
      <c r="C17" s="4" t="s">
        <v>384</v>
      </c>
      <c r="D17" s="8" t="s">
        <v>385</v>
      </c>
      <c r="E17" s="4" t="s">
        <v>386</v>
      </c>
      <c r="F17" s="8" t="s">
        <v>387</v>
      </c>
      <c r="G17" s="4"/>
      <c r="H17" s="58" t="s">
        <v>388</v>
      </c>
      <c r="I17" s="67">
        <v>45484</v>
      </c>
      <c r="J17" s="44" t="s">
        <v>55</v>
      </c>
      <c r="K17" s="32" t="s">
        <v>389</v>
      </c>
      <c r="L17" s="62"/>
    </row>
    <row r="18" spans="1:12" s="64" customFormat="1" ht="58.5" customHeight="1" x14ac:dyDescent="0.35">
      <c r="A18" s="47" t="s">
        <v>390</v>
      </c>
      <c r="B18" s="66">
        <v>45481</v>
      </c>
      <c r="C18" s="303" t="s">
        <v>391</v>
      </c>
      <c r="D18" s="304"/>
      <c r="E18" s="305"/>
      <c r="F18" s="39" t="s">
        <v>392</v>
      </c>
      <c r="G18" s="48"/>
      <c r="H18" s="58" t="s">
        <v>393</v>
      </c>
      <c r="I18" s="67">
        <v>45488</v>
      </c>
      <c r="J18" s="44" t="s">
        <v>55</v>
      </c>
      <c r="K18" s="32" t="s">
        <v>394</v>
      </c>
      <c r="L18" s="63"/>
    </row>
    <row r="19" spans="1:12" s="64" customFormat="1" ht="35.25" customHeight="1" x14ac:dyDescent="0.35">
      <c r="A19" s="47" t="s">
        <v>129</v>
      </c>
      <c r="B19" s="66">
        <v>45478</v>
      </c>
      <c r="C19" s="39" t="s">
        <v>395</v>
      </c>
      <c r="D19" s="39" t="s">
        <v>396</v>
      </c>
      <c r="E19" s="39" t="s">
        <v>397</v>
      </c>
      <c r="F19" s="65" t="s">
        <v>398</v>
      </c>
      <c r="G19" s="48"/>
      <c r="H19" s="59" t="s">
        <v>399</v>
      </c>
      <c r="I19" s="67">
        <v>45488</v>
      </c>
      <c r="J19" s="44" t="s">
        <v>55</v>
      </c>
      <c r="K19" s="40" t="s">
        <v>400</v>
      </c>
      <c r="L19" s="63"/>
    </row>
    <row r="20" spans="1:12" s="64" customFormat="1" ht="35.25" customHeight="1" x14ac:dyDescent="0.35">
      <c r="A20" s="47"/>
      <c r="B20" s="9"/>
      <c r="C20" s="39" t="s">
        <v>401</v>
      </c>
      <c r="D20" s="39" t="s">
        <v>402</v>
      </c>
      <c r="E20" s="39" t="s">
        <v>403</v>
      </c>
      <c r="F20" s="39" t="s">
        <v>404</v>
      </c>
      <c r="G20" s="48"/>
      <c r="H20" s="48"/>
      <c r="I20" s="68"/>
      <c r="J20" s="44" t="s">
        <v>55</v>
      </c>
      <c r="K20" s="49"/>
      <c r="L20" s="63"/>
    </row>
    <row r="21" spans="1:12" s="64" customFormat="1" ht="45" customHeight="1" x14ac:dyDescent="0.35">
      <c r="A21" s="47" t="s">
        <v>137</v>
      </c>
      <c r="B21" s="66">
        <v>45498</v>
      </c>
      <c r="C21" s="39" t="s">
        <v>405</v>
      </c>
      <c r="D21" s="39" t="s">
        <v>406</v>
      </c>
      <c r="E21" s="39" t="s">
        <v>407</v>
      </c>
      <c r="F21" s="39" t="s">
        <v>408</v>
      </c>
      <c r="G21" s="39"/>
      <c r="H21" s="51" t="s">
        <v>409</v>
      </c>
      <c r="I21" s="67">
        <v>45504</v>
      </c>
      <c r="J21" s="44" t="s">
        <v>55</v>
      </c>
      <c r="K21" s="30" t="s">
        <v>56</v>
      </c>
      <c r="L21" s="63"/>
    </row>
    <row r="22" spans="1:12" s="64" customFormat="1" ht="45" customHeight="1" x14ac:dyDescent="0.35">
      <c r="A22" s="39" t="s">
        <v>394</v>
      </c>
      <c r="B22" s="66">
        <v>45519</v>
      </c>
      <c r="C22" s="39" t="s">
        <v>410</v>
      </c>
      <c r="D22" s="39" t="s">
        <v>411</v>
      </c>
      <c r="E22" s="39" t="s">
        <v>412</v>
      </c>
      <c r="F22" s="39" t="s">
        <v>408</v>
      </c>
      <c r="G22" s="39"/>
      <c r="H22" s="51" t="s">
        <v>409</v>
      </c>
      <c r="I22" s="67">
        <v>45523</v>
      </c>
      <c r="J22" s="44" t="s">
        <v>55</v>
      </c>
      <c r="K22" s="30" t="s">
        <v>56</v>
      </c>
      <c r="L22" s="63"/>
    </row>
    <row r="23" spans="1:12" s="64" customFormat="1" ht="45" customHeight="1" x14ac:dyDescent="0.35">
      <c r="A23" s="39" t="s">
        <v>400</v>
      </c>
      <c r="B23" s="66">
        <v>45560</v>
      </c>
      <c r="C23" s="39" t="s">
        <v>413</v>
      </c>
      <c r="D23" s="39" t="s">
        <v>414</v>
      </c>
      <c r="E23" s="39" t="s">
        <v>415</v>
      </c>
      <c r="F23" s="39" t="s">
        <v>408</v>
      </c>
      <c r="G23" s="39"/>
      <c r="H23" s="51" t="s">
        <v>409</v>
      </c>
      <c r="I23" s="67">
        <v>45561</v>
      </c>
      <c r="J23" s="44" t="s">
        <v>55</v>
      </c>
      <c r="K23" s="30" t="s">
        <v>56</v>
      </c>
      <c r="L23" s="63"/>
    </row>
    <row r="24" spans="1:12" s="64" customFormat="1" ht="35.25" customHeight="1" x14ac:dyDescent="0.35">
      <c r="A24" s="39" t="s">
        <v>56</v>
      </c>
      <c r="B24" s="69">
        <v>45527</v>
      </c>
      <c r="C24" s="39" t="s">
        <v>416</v>
      </c>
      <c r="D24" s="39" t="s">
        <v>417</v>
      </c>
      <c r="E24" s="39" t="s">
        <v>418</v>
      </c>
      <c r="F24" s="39" t="s">
        <v>419</v>
      </c>
      <c r="G24" s="39"/>
      <c r="H24" s="39" t="s">
        <v>420</v>
      </c>
      <c r="I24" s="39"/>
      <c r="J24" s="39"/>
      <c r="K24" s="30" t="s">
        <v>56</v>
      </c>
      <c r="L24" s="63"/>
    </row>
    <row r="25" spans="1:12" s="64" customFormat="1" ht="35.25" customHeight="1" x14ac:dyDescent="0.35">
      <c r="A25" s="39" t="s">
        <v>56</v>
      </c>
      <c r="B25" s="69">
        <v>45553</v>
      </c>
      <c r="C25" s="39" t="s">
        <v>421</v>
      </c>
      <c r="D25" s="39" t="s">
        <v>422</v>
      </c>
      <c r="E25" s="39" t="s">
        <v>423</v>
      </c>
      <c r="F25" s="39" t="s">
        <v>424</v>
      </c>
      <c r="G25" s="39"/>
      <c r="H25" s="39"/>
      <c r="I25" s="39"/>
      <c r="J25" s="39"/>
      <c r="K25" s="30" t="s">
        <v>56</v>
      </c>
      <c r="L25" s="63"/>
    </row>
    <row r="26" spans="1:12" s="64" customFormat="1" ht="42.75" customHeight="1" x14ac:dyDescent="0.35">
      <c r="A26" s="39" t="s">
        <v>425</v>
      </c>
      <c r="B26" s="69">
        <v>45572</v>
      </c>
      <c r="C26" s="39" t="s">
        <v>426</v>
      </c>
      <c r="D26" s="39" t="s">
        <v>427</v>
      </c>
      <c r="E26" s="39" t="s">
        <v>428</v>
      </c>
      <c r="F26" s="71" t="s">
        <v>429</v>
      </c>
      <c r="G26" s="39"/>
      <c r="H26" s="39" t="s">
        <v>430</v>
      </c>
      <c r="I26" s="69">
        <v>45574</v>
      </c>
      <c r="J26" s="39" t="s">
        <v>55</v>
      </c>
      <c r="K26" s="30" t="s">
        <v>56</v>
      </c>
      <c r="L26" s="63"/>
    </row>
    <row r="27" spans="1:12" s="64" customFormat="1" ht="35.25" customHeight="1" x14ac:dyDescent="0.35">
      <c r="A27" s="64" t="s">
        <v>56</v>
      </c>
      <c r="B27" s="69">
        <v>45580</v>
      </c>
      <c r="C27" s="39" t="s">
        <v>431</v>
      </c>
      <c r="D27" s="39" t="s">
        <v>432</v>
      </c>
      <c r="E27" s="39" t="s">
        <v>433</v>
      </c>
      <c r="F27" s="39" t="s">
        <v>434</v>
      </c>
      <c r="G27" s="39"/>
      <c r="H27" s="39" t="s">
        <v>435</v>
      </c>
      <c r="I27" s="71"/>
      <c r="J27" s="39"/>
      <c r="K27" s="30" t="s">
        <v>56</v>
      </c>
      <c r="L27" s="63"/>
    </row>
    <row r="28" spans="1:12" s="64" customFormat="1" ht="35.25" customHeight="1" x14ac:dyDescent="0.35">
      <c r="A28" s="39" t="s">
        <v>436</v>
      </c>
      <c r="B28" s="69">
        <v>45611</v>
      </c>
      <c r="C28" s="39" t="s">
        <v>437</v>
      </c>
      <c r="D28" s="39" t="s">
        <v>438</v>
      </c>
      <c r="E28" s="39" t="s">
        <v>439</v>
      </c>
      <c r="F28" s="265" t="s">
        <v>440</v>
      </c>
      <c r="G28" s="39"/>
      <c r="H28" s="265" t="s">
        <v>441</v>
      </c>
      <c r="I28" s="69">
        <v>45628</v>
      </c>
      <c r="J28" s="72" t="s">
        <v>55</v>
      </c>
      <c r="K28" s="30" t="s">
        <v>56</v>
      </c>
      <c r="L28" s="63"/>
    </row>
    <row r="29" spans="1:12" s="64" customFormat="1" ht="35.25" customHeight="1" x14ac:dyDescent="0.35">
      <c r="A29" s="39" t="s">
        <v>442</v>
      </c>
      <c r="B29" s="69">
        <v>45611</v>
      </c>
      <c r="C29" s="39" t="s">
        <v>443</v>
      </c>
      <c r="D29" s="39" t="s">
        <v>438</v>
      </c>
      <c r="E29" s="39" t="s">
        <v>439</v>
      </c>
      <c r="F29" s="277"/>
      <c r="G29" s="39"/>
      <c r="H29" s="277"/>
      <c r="I29" s="69">
        <v>45628</v>
      </c>
      <c r="J29" s="72" t="s">
        <v>55</v>
      </c>
      <c r="K29" s="30" t="s">
        <v>56</v>
      </c>
      <c r="L29" s="63"/>
    </row>
    <row r="30" spans="1:12" s="64" customFormat="1" ht="35.25" customHeight="1" x14ac:dyDescent="0.35">
      <c r="A30" s="39" t="s">
        <v>444</v>
      </c>
      <c r="B30" s="69">
        <v>45611</v>
      </c>
      <c r="C30" s="39" t="s">
        <v>445</v>
      </c>
      <c r="D30" s="39" t="s">
        <v>438</v>
      </c>
      <c r="E30" s="39" t="s">
        <v>439</v>
      </c>
      <c r="F30" s="266"/>
      <c r="G30" s="39"/>
      <c r="H30" s="266"/>
      <c r="I30" s="69">
        <v>45628</v>
      </c>
      <c r="J30" s="72" t="s">
        <v>55</v>
      </c>
      <c r="K30" s="30" t="s">
        <v>56</v>
      </c>
      <c r="L30" s="63"/>
    </row>
    <row r="31" spans="1:12" s="64" customFormat="1" ht="35.25" customHeight="1" x14ac:dyDescent="0.35">
      <c r="A31" s="39" t="s">
        <v>446</v>
      </c>
      <c r="B31" s="69">
        <v>45615</v>
      </c>
      <c r="C31" s="39" t="s">
        <v>447</v>
      </c>
      <c r="D31" s="39" t="s">
        <v>448</v>
      </c>
      <c r="E31" s="39" t="s">
        <v>449</v>
      </c>
      <c r="F31" s="39" t="s">
        <v>450</v>
      </c>
      <c r="G31" s="39"/>
      <c r="H31" s="71"/>
      <c r="I31" s="71"/>
      <c r="J31" s="71"/>
      <c r="K31" s="30" t="s">
        <v>56</v>
      </c>
      <c r="L31" s="63"/>
    </row>
    <row r="32" spans="1:12" s="64" customFormat="1" ht="35.25" customHeight="1" x14ac:dyDescent="0.35">
      <c r="A32" s="72" t="s">
        <v>451</v>
      </c>
      <c r="B32" s="86">
        <v>45621</v>
      </c>
      <c r="C32" s="72" t="s">
        <v>452</v>
      </c>
      <c r="D32" s="72" t="s">
        <v>453</v>
      </c>
      <c r="E32" s="72" t="s">
        <v>454</v>
      </c>
      <c r="F32" s="72" t="s">
        <v>455</v>
      </c>
      <c r="G32" s="39"/>
      <c r="H32" s="39" t="s">
        <v>456</v>
      </c>
      <c r="I32" s="69">
        <v>45624</v>
      </c>
      <c r="J32" s="72" t="s">
        <v>55</v>
      </c>
      <c r="K32" s="30" t="s">
        <v>56</v>
      </c>
      <c r="L32" s="63"/>
    </row>
    <row r="33" spans="1:12" s="64" customFormat="1" ht="35.25" customHeight="1" x14ac:dyDescent="0.35">
      <c r="A33" s="231" t="s">
        <v>457</v>
      </c>
      <c r="B33" s="306">
        <v>45628</v>
      </c>
      <c r="C33" s="39" t="s">
        <v>458</v>
      </c>
      <c r="D33" s="39" t="s">
        <v>459</v>
      </c>
      <c r="E33" s="39" t="s">
        <v>460</v>
      </c>
      <c r="F33" s="39" t="s">
        <v>461</v>
      </c>
      <c r="G33" s="84"/>
      <c r="H33" s="72" t="s">
        <v>462</v>
      </c>
      <c r="I33" s="311">
        <v>45628</v>
      </c>
      <c r="J33" s="72" t="s">
        <v>55</v>
      </c>
      <c r="K33" s="30" t="s">
        <v>56</v>
      </c>
      <c r="L33" s="63"/>
    </row>
    <row r="34" spans="1:12" ht="35.25" customHeight="1" x14ac:dyDescent="0.35">
      <c r="A34" s="231"/>
      <c r="B34" s="306"/>
      <c r="C34" s="39" t="s">
        <v>463</v>
      </c>
      <c r="D34" s="39" t="s">
        <v>464</v>
      </c>
      <c r="E34" s="39" t="s">
        <v>460</v>
      </c>
      <c r="F34" s="39" t="s">
        <v>461</v>
      </c>
      <c r="G34" s="85"/>
      <c r="H34" s="72" t="s">
        <v>462</v>
      </c>
      <c r="I34" s="228"/>
      <c r="J34" s="72" t="s">
        <v>55</v>
      </c>
      <c r="K34" s="30" t="s">
        <v>56</v>
      </c>
      <c r="L34" s="62"/>
    </row>
    <row r="35" spans="1:12" ht="35.25" customHeight="1" x14ac:dyDescent="0.35">
      <c r="A35" s="231"/>
      <c r="B35" s="306"/>
      <c r="C35" s="39" t="s">
        <v>465</v>
      </c>
      <c r="D35" s="39" t="s">
        <v>466</v>
      </c>
      <c r="E35" s="39" t="s">
        <v>467</v>
      </c>
      <c r="F35" s="39" t="s">
        <v>461</v>
      </c>
      <c r="G35" s="85"/>
      <c r="H35" s="72" t="s">
        <v>462</v>
      </c>
      <c r="I35" s="229"/>
      <c r="J35" s="72" t="s">
        <v>55</v>
      </c>
      <c r="K35" s="30" t="s">
        <v>56</v>
      </c>
      <c r="L35" s="62"/>
    </row>
    <row r="36" spans="1:12" ht="35.25" customHeight="1" x14ac:dyDescent="0.35">
      <c r="A36" s="231"/>
      <c r="B36" s="306"/>
      <c r="C36" s="39" t="s">
        <v>468</v>
      </c>
      <c r="D36" s="39" t="s">
        <v>469</v>
      </c>
      <c r="E36" s="39" t="s">
        <v>460</v>
      </c>
      <c r="F36" s="39" t="s">
        <v>461</v>
      </c>
      <c r="G36" s="85"/>
      <c r="H36" s="77" t="s">
        <v>470</v>
      </c>
      <c r="I36" s="77"/>
      <c r="J36" s="77"/>
      <c r="K36" s="30" t="s">
        <v>56</v>
      </c>
      <c r="L36" s="62"/>
    </row>
    <row r="37" spans="1:12" ht="35.25" customHeight="1" x14ac:dyDescent="0.35">
      <c r="A37" s="228" t="s">
        <v>471</v>
      </c>
      <c r="B37" s="317">
        <v>45631</v>
      </c>
      <c r="C37" s="79" t="s">
        <v>472</v>
      </c>
      <c r="D37" s="83" t="s">
        <v>473</v>
      </c>
      <c r="E37" s="83" t="s">
        <v>474</v>
      </c>
      <c r="F37" s="319" t="s">
        <v>475</v>
      </c>
      <c r="G37" s="73"/>
      <c r="H37" s="321" t="s">
        <v>476</v>
      </c>
      <c r="I37" s="322">
        <v>45639</v>
      </c>
      <c r="J37" s="308" t="s">
        <v>55</v>
      </c>
      <c r="K37" s="307" t="s">
        <v>425</v>
      </c>
      <c r="L37" s="62"/>
    </row>
    <row r="38" spans="1:12" ht="35.25" customHeight="1" x14ac:dyDescent="0.35">
      <c r="A38" s="229"/>
      <c r="B38" s="317"/>
      <c r="C38" s="72" t="s">
        <v>472</v>
      </c>
      <c r="D38" s="73" t="s">
        <v>477</v>
      </c>
      <c r="E38" s="73" t="s">
        <v>478</v>
      </c>
      <c r="F38" s="319"/>
      <c r="G38" s="73"/>
      <c r="H38" s="319"/>
      <c r="I38" s="323"/>
      <c r="J38" s="309"/>
      <c r="K38" s="307"/>
      <c r="L38" s="62"/>
    </row>
    <row r="39" spans="1:12" ht="35.25" customHeight="1" x14ac:dyDescent="0.35">
      <c r="A39" s="74" t="s">
        <v>479</v>
      </c>
      <c r="B39" s="318"/>
      <c r="C39" s="72" t="s">
        <v>480</v>
      </c>
      <c r="D39" s="73" t="s">
        <v>481</v>
      </c>
      <c r="E39" s="73" t="s">
        <v>482</v>
      </c>
      <c r="F39" s="320"/>
      <c r="G39" s="73"/>
      <c r="H39" s="319"/>
      <c r="I39" s="323"/>
      <c r="J39" s="309"/>
      <c r="K39" s="307"/>
      <c r="L39" s="62"/>
    </row>
    <row r="40" spans="1:12" ht="35.25" customHeight="1" x14ac:dyDescent="0.35">
      <c r="A40" s="73" t="s">
        <v>483</v>
      </c>
      <c r="B40" s="75">
        <v>45631</v>
      </c>
      <c r="C40" s="72" t="s">
        <v>480</v>
      </c>
      <c r="D40" s="73" t="s">
        <v>484</v>
      </c>
      <c r="E40" s="73" t="s">
        <v>485</v>
      </c>
      <c r="F40" s="76" t="s">
        <v>475</v>
      </c>
      <c r="G40" s="73"/>
      <c r="H40" s="320"/>
      <c r="I40" s="324"/>
      <c r="J40" s="310"/>
      <c r="K40" s="307"/>
      <c r="L40" s="62"/>
    </row>
    <row r="41" spans="1:12" ht="35.25" customHeight="1" x14ac:dyDescent="0.35">
      <c r="A41" s="227" t="s">
        <v>436</v>
      </c>
      <c r="B41" s="311">
        <v>45644</v>
      </c>
      <c r="C41" s="39" t="s">
        <v>486</v>
      </c>
      <c r="D41" s="39" t="s">
        <v>487</v>
      </c>
      <c r="E41" s="39" t="s">
        <v>488</v>
      </c>
      <c r="F41" s="227" t="s">
        <v>489</v>
      </c>
      <c r="G41" s="78"/>
      <c r="H41" s="72" t="s">
        <v>490</v>
      </c>
      <c r="I41" s="311">
        <v>45645</v>
      </c>
      <c r="J41" s="314" t="s">
        <v>55</v>
      </c>
      <c r="K41" s="307" t="s">
        <v>436</v>
      </c>
      <c r="L41" s="62"/>
    </row>
    <row r="42" spans="1:12" ht="36.75" customHeight="1" x14ac:dyDescent="0.35">
      <c r="A42" s="228"/>
      <c r="B42" s="312"/>
      <c r="C42" s="39" t="s">
        <v>491</v>
      </c>
      <c r="D42" s="39" t="s">
        <v>492</v>
      </c>
      <c r="E42" s="39" t="s">
        <v>493</v>
      </c>
      <c r="F42" s="228"/>
      <c r="G42" s="78"/>
      <c r="H42" s="79" t="s">
        <v>494</v>
      </c>
      <c r="I42" s="228"/>
      <c r="J42" s="315"/>
      <c r="K42" s="307"/>
      <c r="L42" s="62"/>
    </row>
    <row r="43" spans="1:12" ht="45" customHeight="1" x14ac:dyDescent="0.35">
      <c r="A43" s="229"/>
      <c r="B43" s="313"/>
      <c r="C43" s="39" t="s">
        <v>495</v>
      </c>
      <c r="D43" s="39" t="s">
        <v>492</v>
      </c>
      <c r="E43" s="39" t="s">
        <v>496</v>
      </c>
      <c r="F43" s="229"/>
      <c r="G43" s="78"/>
      <c r="H43" s="74" t="s">
        <v>497</v>
      </c>
      <c r="I43" s="229"/>
      <c r="J43" s="316"/>
      <c r="K43" s="307"/>
      <c r="L43" s="62"/>
    </row>
    <row r="44" spans="1:12" ht="15.75" customHeight="1" x14ac:dyDescent="0.35">
      <c r="K44" s="28"/>
    </row>
    <row r="45" spans="1:12" ht="15.75" customHeight="1" x14ac:dyDescent="0.35"/>
    <row r="46" spans="1:12" ht="15.75" customHeight="1" x14ac:dyDescent="0.35"/>
    <row r="47" spans="1:12" ht="15.75" customHeight="1" x14ac:dyDescent="0.35"/>
    <row r="48" spans="1:1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sheetData>
  <mergeCells count="21">
    <mergeCell ref="K37:K40"/>
    <mergeCell ref="K41:K43"/>
    <mergeCell ref="J37:J40"/>
    <mergeCell ref="I33:I35"/>
    <mergeCell ref="A41:A43"/>
    <mergeCell ref="B41:B43"/>
    <mergeCell ref="F41:F43"/>
    <mergeCell ref="I41:I43"/>
    <mergeCell ref="J41:J43"/>
    <mergeCell ref="B37:B39"/>
    <mergeCell ref="F37:F39"/>
    <mergeCell ref="A37:A38"/>
    <mergeCell ref="H37:H40"/>
    <mergeCell ref="I37:I40"/>
    <mergeCell ref="A1:J1"/>
    <mergeCell ref="A2:J2"/>
    <mergeCell ref="C18:E18"/>
    <mergeCell ref="F28:F30"/>
    <mergeCell ref="A33:A36"/>
    <mergeCell ref="B33:B36"/>
    <mergeCell ref="H28:H30"/>
  </mergeCells>
  <pageMargins left="0.27559055118110243" right="0.1875" top="0.47244094488188981" bottom="0.59375" header="0" footer="0"/>
  <pageSetup fitToHeight="0" orientation="landscape" r:id="rId1"/>
  <headerFooter>
    <oddHeader>&amp;LThe Great Canadian Meat Company&amp;R&amp;A</oddHeader>
    <oddFooter>&amp;L&amp;"-,Italic"Prepared by:Food Technology Consulting 
 Approved by: MU&amp;CPage  &amp;P&amp;R&amp;"-,Italic"Rev. Date: 08-Dec-2021 
Rev. # 02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pageSetUpPr fitToPage="1"/>
  </sheetPr>
  <dimension ref="A1:O1003"/>
  <sheetViews>
    <sheetView view="pageLayout" zoomScaleNormal="100" workbookViewId="0">
      <selection activeCell="D12" sqref="D12"/>
    </sheetView>
  </sheetViews>
  <sheetFormatPr defaultColWidth="14.453125" defaultRowHeight="15" customHeight="1" x14ac:dyDescent="0.35"/>
  <cols>
    <col min="1" max="1" width="8.54296875" customWidth="1"/>
    <col min="2" max="2" width="14.7265625" customWidth="1"/>
    <col min="3" max="3" width="25.54296875" customWidth="1"/>
    <col min="4" max="4" width="17.453125" customWidth="1"/>
    <col min="5" max="5" width="10.54296875" customWidth="1"/>
    <col min="6" max="6" width="29.453125" customWidth="1"/>
    <col min="7" max="7" width="38.453125" customWidth="1"/>
    <col min="8" max="8" width="62.26953125" customWidth="1"/>
    <col min="9" max="9" width="12.26953125" customWidth="1"/>
    <col min="10" max="10" width="9.54296875" customWidth="1"/>
  </cols>
  <sheetData>
    <row r="1" spans="1:15" ht="12.75" customHeight="1" x14ac:dyDescent="0.35">
      <c r="A1" s="325" t="s">
        <v>0</v>
      </c>
      <c r="B1" s="326"/>
      <c r="C1" s="326"/>
      <c r="D1" s="326"/>
      <c r="E1" s="326"/>
      <c r="F1" s="326"/>
      <c r="G1" s="326"/>
      <c r="H1" s="326"/>
      <c r="I1" s="326"/>
      <c r="J1" s="326"/>
      <c r="K1" s="6"/>
      <c r="L1" s="6"/>
      <c r="M1" s="6"/>
      <c r="N1" s="6"/>
      <c r="O1" s="6"/>
    </row>
    <row r="2" spans="1:15" ht="26.25" customHeight="1" x14ac:dyDescent="0.35">
      <c r="A2" s="327" t="s">
        <v>1</v>
      </c>
      <c r="B2" s="328"/>
      <c r="C2" s="328"/>
      <c r="D2" s="328"/>
      <c r="E2" s="328"/>
      <c r="F2" s="328"/>
      <c r="G2" s="328"/>
      <c r="H2" s="328"/>
      <c r="I2" s="328"/>
      <c r="J2" s="328"/>
    </row>
    <row r="3" spans="1:15" ht="39" customHeight="1" x14ac:dyDescent="0.35">
      <c r="A3" s="1" t="s">
        <v>38</v>
      </c>
      <c r="B3" s="2" t="s">
        <v>39</v>
      </c>
      <c r="C3" s="2" t="s">
        <v>40</v>
      </c>
      <c r="D3" s="2" t="s">
        <v>41</v>
      </c>
      <c r="E3" s="2" t="s">
        <v>42</v>
      </c>
      <c r="F3" s="2" t="s">
        <v>43</v>
      </c>
      <c r="G3" s="2" t="s">
        <v>44</v>
      </c>
      <c r="H3" s="2" t="s">
        <v>45</v>
      </c>
      <c r="I3" s="2" t="s">
        <v>46</v>
      </c>
      <c r="J3" s="2" t="s">
        <v>498</v>
      </c>
      <c r="K3" s="13"/>
    </row>
    <row r="4" spans="1:15" ht="35.25" customHeight="1" x14ac:dyDescent="0.35">
      <c r="A4" s="7" t="s">
        <v>324</v>
      </c>
      <c r="B4" s="12" t="s">
        <v>499</v>
      </c>
      <c r="C4" s="12" t="s">
        <v>500</v>
      </c>
      <c r="D4" s="12" t="s">
        <v>56</v>
      </c>
      <c r="E4" s="12">
        <v>1</v>
      </c>
      <c r="F4" s="9" t="s">
        <v>501</v>
      </c>
      <c r="G4" s="9" t="s">
        <v>502</v>
      </c>
      <c r="H4" s="9" t="s">
        <v>503</v>
      </c>
      <c r="I4" s="12" t="s">
        <v>504</v>
      </c>
      <c r="J4" s="3" t="s">
        <v>55</v>
      </c>
      <c r="K4" s="13"/>
    </row>
    <row r="5" spans="1:15" ht="35.25" customHeight="1" x14ac:dyDescent="0.35">
      <c r="A5" s="7" t="s">
        <v>505</v>
      </c>
      <c r="B5" s="12" t="s">
        <v>506</v>
      </c>
      <c r="C5" s="12" t="s">
        <v>507</v>
      </c>
      <c r="D5" s="12" t="s">
        <v>56</v>
      </c>
      <c r="E5" s="12">
        <v>1</v>
      </c>
      <c r="F5" s="9" t="s">
        <v>501</v>
      </c>
      <c r="G5" s="9" t="s">
        <v>502</v>
      </c>
      <c r="H5" s="9" t="s">
        <v>503</v>
      </c>
      <c r="I5" s="12" t="s">
        <v>504</v>
      </c>
      <c r="J5" s="3" t="s">
        <v>55</v>
      </c>
      <c r="K5" s="13"/>
    </row>
    <row r="6" spans="1:15" ht="35.25" hidden="1" customHeight="1" x14ac:dyDescent="0.35">
      <c r="A6" s="7" t="s">
        <v>508</v>
      </c>
      <c r="B6" s="12" t="s">
        <v>509</v>
      </c>
      <c r="C6" s="12" t="s">
        <v>510</v>
      </c>
      <c r="D6" s="9" t="s">
        <v>511</v>
      </c>
      <c r="E6" s="12" t="s">
        <v>69</v>
      </c>
      <c r="F6" s="9" t="s">
        <v>512</v>
      </c>
      <c r="G6" s="8" t="s">
        <v>513</v>
      </c>
      <c r="H6" s="9" t="s">
        <v>514</v>
      </c>
      <c r="I6" s="4" t="s">
        <v>515</v>
      </c>
      <c r="J6" s="3" t="s">
        <v>55</v>
      </c>
      <c r="K6" s="13"/>
    </row>
    <row r="7" spans="1:15" ht="35.25" customHeight="1" x14ac:dyDescent="0.35">
      <c r="A7" s="7" t="s">
        <v>516</v>
      </c>
      <c r="B7" s="12" t="s">
        <v>517</v>
      </c>
      <c r="C7" s="12" t="s">
        <v>518</v>
      </c>
      <c r="D7" s="12" t="s">
        <v>519</v>
      </c>
      <c r="E7" s="12" t="s">
        <v>520</v>
      </c>
      <c r="F7" s="9" t="s">
        <v>521</v>
      </c>
      <c r="G7" s="9" t="s">
        <v>356</v>
      </c>
      <c r="H7" s="9" t="s">
        <v>522</v>
      </c>
      <c r="I7" s="4" t="s">
        <v>517</v>
      </c>
      <c r="J7" s="3" t="s">
        <v>55</v>
      </c>
      <c r="K7" s="13"/>
    </row>
    <row r="8" spans="1:15" ht="91.5" customHeight="1" x14ac:dyDescent="0.35">
      <c r="A8" s="7" t="s">
        <v>523</v>
      </c>
      <c r="B8" s="12" t="s">
        <v>524</v>
      </c>
      <c r="C8" s="12" t="s">
        <v>525</v>
      </c>
      <c r="D8" s="12" t="s">
        <v>526</v>
      </c>
      <c r="E8" s="12" t="s">
        <v>527</v>
      </c>
      <c r="F8" s="12" t="s">
        <v>528</v>
      </c>
      <c r="G8" s="8" t="s">
        <v>513</v>
      </c>
      <c r="H8" s="8" t="s">
        <v>529</v>
      </c>
      <c r="I8" s="10" t="s">
        <v>530</v>
      </c>
      <c r="J8" s="3" t="s">
        <v>55</v>
      </c>
      <c r="K8" s="13"/>
    </row>
    <row r="9" spans="1:15" ht="36" customHeight="1" x14ac:dyDescent="0.35">
      <c r="A9" s="7" t="s">
        <v>531</v>
      </c>
      <c r="B9" s="12" t="s">
        <v>532</v>
      </c>
      <c r="C9" s="12" t="s">
        <v>533</v>
      </c>
      <c r="D9" s="12" t="s">
        <v>56</v>
      </c>
      <c r="E9" s="12" t="s">
        <v>533</v>
      </c>
      <c r="F9" s="9" t="s">
        <v>534</v>
      </c>
      <c r="G9" s="8" t="s">
        <v>535</v>
      </c>
      <c r="H9" s="8" t="s">
        <v>536</v>
      </c>
      <c r="I9" s="10" t="s">
        <v>537</v>
      </c>
      <c r="J9" s="3" t="s">
        <v>55</v>
      </c>
      <c r="K9" s="13"/>
    </row>
    <row r="10" spans="1:15" ht="58.5" customHeight="1" x14ac:dyDescent="0.35">
      <c r="A10" s="11" t="s">
        <v>538</v>
      </c>
      <c r="B10" s="16" t="s">
        <v>539</v>
      </c>
      <c r="C10" s="16" t="s">
        <v>540</v>
      </c>
      <c r="D10" s="16" t="s">
        <v>541</v>
      </c>
      <c r="E10" s="16" t="s">
        <v>283</v>
      </c>
      <c r="F10" s="17" t="s">
        <v>542</v>
      </c>
      <c r="G10" s="15" t="s">
        <v>513</v>
      </c>
      <c r="H10" s="15" t="s">
        <v>543</v>
      </c>
      <c r="I10" s="18" t="s">
        <v>544</v>
      </c>
      <c r="J10" s="14" t="s">
        <v>55</v>
      </c>
      <c r="K10" s="19"/>
    </row>
    <row r="11" spans="1:15" ht="61.5" customHeight="1" x14ac:dyDescent="0.35">
      <c r="A11" s="11" t="s">
        <v>545</v>
      </c>
      <c r="B11" s="16" t="s">
        <v>546</v>
      </c>
      <c r="C11" s="17" t="s">
        <v>547</v>
      </c>
      <c r="D11" s="17" t="s">
        <v>548</v>
      </c>
      <c r="E11" s="16" t="s">
        <v>549</v>
      </c>
      <c r="F11" s="15" t="s">
        <v>550</v>
      </c>
      <c r="G11" s="15" t="s">
        <v>513</v>
      </c>
      <c r="H11" s="15" t="s">
        <v>551</v>
      </c>
      <c r="I11" s="18" t="s">
        <v>552</v>
      </c>
      <c r="J11" s="14" t="s">
        <v>55</v>
      </c>
      <c r="K11" s="19"/>
    </row>
    <row r="12" spans="1:15" ht="35.25" customHeight="1" x14ac:dyDescent="0.35">
      <c r="A12" s="7"/>
      <c r="B12" s="4"/>
      <c r="C12" s="4"/>
      <c r="D12" s="4"/>
      <c r="E12" s="4"/>
      <c r="F12" s="4"/>
      <c r="G12" s="4"/>
      <c r="H12" s="4"/>
      <c r="I12" s="4"/>
      <c r="J12" s="4"/>
    </row>
    <row r="13" spans="1:15" ht="35.25" customHeight="1" x14ac:dyDescent="0.35">
      <c r="A13" s="7"/>
      <c r="B13" s="4"/>
      <c r="C13" s="4"/>
      <c r="D13" s="4"/>
      <c r="E13" s="4"/>
      <c r="F13" s="4"/>
      <c r="G13" s="4"/>
      <c r="H13" s="4"/>
      <c r="I13" s="4"/>
      <c r="J13" s="4"/>
    </row>
    <row r="14" spans="1:15" ht="35.25" customHeight="1" x14ac:dyDescent="0.35">
      <c r="A14" s="7"/>
      <c r="B14" s="4"/>
      <c r="C14" s="4"/>
      <c r="D14" s="4"/>
      <c r="E14" s="4"/>
      <c r="F14" s="4"/>
      <c r="G14" s="4"/>
      <c r="H14" s="4"/>
      <c r="I14" s="4"/>
      <c r="J14" s="4"/>
    </row>
    <row r="15" spans="1:15" ht="35.25" customHeight="1" x14ac:dyDescent="0.35">
      <c r="A15" s="7"/>
      <c r="B15" s="4"/>
      <c r="C15" s="4"/>
      <c r="D15" s="4"/>
      <c r="E15" s="4"/>
      <c r="F15" s="4"/>
      <c r="G15" s="4"/>
      <c r="H15" s="4"/>
      <c r="I15" s="4"/>
      <c r="J15" s="4"/>
    </row>
    <row r="16" spans="1:15" ht="35.25" customHeight="1" x14ac:dyDescent="0.35">
      <c r="A16" s="7"/>
      <c r="B16" s="4"/>
      <c r="C16" s="4"/>
      <c r="D16" s="4"/>
      <c r="E16" s="4"/>
      <c r="F16" s="4"/>
      <c r="G16" s="4"/>
      <c r="H16" s="4"/>
      <c r="I16" s="4"/>
      <c r="J16" s="4"/>
    </row>
    <row r="17" spans="1:10" ht="35.25" customHeight="1" x14ac:dyDescent="0.35">
      <c r="A17" s="7"/>
      <c r="B17" s="5"/>
      <c r="C17" s="5"/>
      <c r="D17" s="5"/>
      <c r="E17" s="5"/>
      <c r="F17" s="5"/>
      <c r="G17" s="5"/>
      <c r="H17" s="5"/>
      <c r="I17" s="5"/>
      <c r="J17" s="5"/>
    </row>
    <row r="24" spans="1:10" ht="15.75" customHeight="1" x14ac:dyDescent="0.35"/>
    <row r="25" spans="1:10" ht="15.75" customHeight="1" x14ac:dyDescent="0.35"/>
    <row r="26" spans="1:10" ht="15.75" customHeight="1" x14ac:dyDescent="0.35"/>
    <row r="27" spans="1:10" ht="15.75" customHeight="1" x14ac:dyDescent="0.35"/>
    <row r="28" spans="1:10" ht="15.75" customHeight="1" x14ac:dyDescent="0.35"/>
    <row r="29" spans="1:10" ht="15.75" customHeight="1" x14ac:dyDescent="0.35"/>
    <row r="30" spans="1:10" ht="15.75" customHeight="1" x14ac:dyDescent="0.35"/>
    <row r="31" spans="1:10" ht="15.75" customHeight="1" x14ac:dyDescent="0.35"/>
    <row r="32" spans="1:10"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sheetData>
  <mergeCells count="2">
    <mergeCell ref="A1:J1"/>
    <mergeCell ref="A2:J2"/>
  </mergeCells>
  <pageMargins left="0.27559055118110243" right="0.1875" top="0.47244094488188981" bottom="0.59375" header="0" footer="0"/>
  <pageSetup fitToHeight="0" orientation="landscape" r:id="rId1"/>
  <headerFooter>
    <oddHeader>&amp;LThe Great Canadian Meat Company&amp;R&amp;A</oddHeader>
    <oddFooter>&amp;L&amp;"-,Italic"Prepared by:Food Technology Consulting 
 Approved by: MU&amp;CPage  &amp;P&amp;R&amp;"-,Italic"Rev. Date: 08-Dec-2021 
Rev. # 02</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2BF733-6496-4C8C-A18E-4CB4126366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179061-7592-4D50-AEAF-462B8C5F7F8A}">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3.xml><?xml version="1.0" encoding="utf-8"?>
<ds:datastoreItem xmlns:ds="http://schemas.openxmlformats.org/officeDocument/2006/customXml" ds:itemID="{2750C9D0-D031-4ECC-AF6C-BD73B68D73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RC-28</vt:lpstr>
      <vt:lpstr>2025</vt:lpstr>
      <vt:lpstr>2024</vt:lpstr>
      <vt:lpstr>2023</vt:lpstr>
      <vt:lpstr>'2023'!Print_Area</vt:lpstr>
      <vt:lpstr>'2024'!Print_Area</vt:lpstr>
      <vt:lpstr>'2025'!Print_Area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2022-06-27T19:01:16Z</dcterms:created>
  <dcterms:modified xsi:type="dcterms:W3CDTF">2026-09-04T22:30:13Z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