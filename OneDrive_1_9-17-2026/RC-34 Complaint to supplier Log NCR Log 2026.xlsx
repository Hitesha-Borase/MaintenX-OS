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0" documentId="8_{CE9AECFE-57D8-47A2-A3A7-AF776BE811E9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Raw Material List" sheetId="2" r:id="rId1"/>
    <sheet name="Graph" sheetId="3" r:id="rId2"/>
    <sheet name="NCR Log" sheetId="1" r:id="rId3"/>
  </sheets>
  <definedNames>
    <definedName name="_xlnm._FilterDatabase" localSheetId="2" hidden="1">'NCR Log'!$A$3:$M$16</definedName>
    <definedName name="_xlnm.Print_Area" localSheetId="2">'NCR Log'!$A$1:$M$5</definedName>
    <definedName name="_xlnm.Print_Titles" localSheetId="2">'NCR Log'!$1:$3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F7" i="3"/>
  <c r="F8" i="3"/>
  <c r="F9" i="3"/>
  <c r="F10" i="3"/>
  <c r="F11" i="3"/>
  <c r="G15" i="1"/>
  <c r="G16" i="1"/>
  <c r="N14" i="1"/>
  <c r="N15" i="1"/>
  <c r="N16" i="1"/>
  <c r="N10" i="1" l="1"/>
  <c r="N11" i="1"/>
  <c r="N12" i="1"/>
  <c r="N13" i="1"/>
  <c r="N9" i="1" l="1"/>
  <c r="N4" i="1"/>
  <c r="E3" i="3" s="1"/>
  <c r="N5" i="1"/>
  <c r="N6" i="1"/>
  <c r="N7" i="1"/>
  <c r="N8" i="1"/>
  <c r="G7" i="3"/>
  <c r="F13" i="3" l="1"/>
  <c r="F3" i="3"/>
  <c r="G10" i="3"/>
  <c r="E2" i="3"/>
  <c r="F4" i="3"/>
  <c r="G12" i="3"/>
  <c r="E11" i="3"/>
  <c r="G5" i="3"/>
  <c r="G3" i="3"/>
  <c r="F5" i="3"/>
  <c r="G2" i="3"/>
  <c r="E12" i="3"/>
  <c r="G4" i="3"/>
  <c r="E9" i="3"/>
  <c r="F12" i="3"/>
  <c r="F2" i="3"/>
  <c r="E8" i="3"/>
  <c r="G13" i="3"/>
  <c r="E13" i="3"/>
  <c r="G9" i="3"/>
  <c r="G11" i="3"/>
  <c r="E6" i="3"/>
  <c r="E5" i="3"/>
  <c r="G8" i="3"/>
  <c r="G6" i="3"/>
  <c r="E10" i="3"/>
  <c r="E7" i="3"/>
  <c r="E4" i="3"/>
</calcChain>
</file>

<file path=xl/sharedStrings.xml><?xml version="1.0" encoding="utf-8"?>
<sst xmlns="http://schemas.openxmlformats.org/spreadsheetml/2006/main" count="350" uniqueCount="220">
  <si>
    <t>Item #</t>
  </si>
  <si>
    <t>Item Description</t>
  </si>
  <si>
    <t>Category</t>
  </si>
  <si>
    <t>pork 85</t>
  </si>
  <si>
    <t>RAW</t>
  </si>
  <si>
    <t>SHIPPER 19 3/8 X 11 1/2 X 12 1/4</t>
  </si>
  <si>
    <t>PACK</t>
  </si>
  <si>
    <t>20C DEEP TRAY (82070)</t>
  </si>
  <si>
    <t>TRAYS-1.25OZ 40C (82040)</t>
  </si>
  <si>
    <t>RED SHEETING FILM 26X0.001</t>
  </si>
  <si>
    <t>BAG-U PLYBAG4549H</t>
  </si>
  <si>
    <t>4up - Kroger Croissants Label - 8.25 x 9.625"</t>
  </si>
  <si>
    <t>6up - Kroger Croissants Label - 8.25 x 14.25"</t>
  </si>
  <si>
    <t>PAPER BRD TP4 12.75X15.25</t>
  </si>
  <si>
    <t>V00287 TUFFLEX 48MMX914M HM195 HOTMLT CST TP CLR@6</t>
  </si>
  <si>
    <t>PAPR-PAR 21.125IN ECOBAKE 30FT ROLL</t>
  </si>
  <si>
    <t>SHPR 19 1/4 X 12 5/8 X 7 40C</t>
  </si>
  <si>
    <t>DIRECT THERMAL LABEL BLK 3.5 X 11.5</t>
  </si>
  <si>
    <t>TRY-LUXURY TURNOVER TRAY</t>
  </si>
  <si>
    <t>SHPR CROISSANT 12.375X11.125X7 ECT 44</t>
  </si>
  <si>
    <t>SHPR TF PUFF PASTRY ECT 40</t>
  </si>
  <si>
    <t>STRETCH WRAP 51GA 20IN x 8000FT</t>
  </si>
  <si>
    <t>PAPR-PAR 25LB SILICO BAKE ROLL</t>
  </si>
  <si>
    <t>CARTON AUTOFILL TF DEEP DISH V2</t>
  </si>
  <si>
    <t>BAG-U PLYBAG4568H</t>
  </si>
  <si>
    <t>SHPR CROISSANT ECT44C</t>
  </si>
  <si>
    <t>SHPR SYSCO BKRSRC SCONE 16 X 13.375 X 7.25</t>
  </si>
  <si>
    <t>SHPR TF REG PIE 9"</t>
  </si>
  <si>
    <t>SHPR TF DEEP DISH 9"</t>
  </si>
  <si>
    <t>CARTON COMP DD PIE SHELL FZ</t>
  </si>
  <si>
    <t>SHPR 9" GENERIC PIE (BLANK)</t>
  </si>
  <si>
    <t>SHPR TURNOVERS 44C</t>
  </si>
  <si>
    <t>DVDR-FC 14.5 X 17 X 1 TAPERED TRAY</t>
  </si>
  <si>
    <t>CARTON AUTOFILL TF REGULAR PIE V2</t>
  </si>
  <si>
    <t>CARTON AUTOFILL TF PUFF PASTRY V3</t>
  </si>
  <si>
    <t>TRAY-TURNOVER</t>
  </si>
  <si>
    <t>FOIL DEEP DISH 9"</t>
  </si>
  <si>
    <t>CARTON AUTOFILL TF PATTY SHELL V3</t>
  </si>
  <si>
    <t>SHPR TF AV DEEP DISH 9"</t>
  </si>
  <si>
    <t>FOIL REGULAR PIE 9"</t>
  </si>
  <si>
    <t>CARTON AUTOFILL TF AV DEEP DISH V2</t>
  </si>
  <si>
    <t>CARTON METRO  PIE SHELLS FZ</t>
  </si>
  <si>
    <t>BRD TF PATTY DBL SIDED COATING</t>
  </si>
  <si>
    <t>PAPR-PAR QUILON 8X8</t>
  </si>
  <si>
    <t>HOT MELT #324336</t>
  </si>
  <si>
    <t>HOT MELT GLUE H-8429 EVA</t>
  </si>
  <si>
    <t>CARTON METRO DD PIE SHELL FZ</t>
  </si>
  <si>
    <t>STRETCH WRAP 42G 20IN X 3352.64 MTR</t>
  </si>
  <si>
    <t>QUILLION SQUARE 8"</t>
  </si>
  <si>
    <t>SHPR TF PATTY SHELLS ECT 32</t>
  </si>
  <si>
    <t>CARTON COMP PIE SHELLS FZ</t>
  </si>
  <si>
    <t>SHPR  PRINTED KRAFT GENERIC</t>
  </si>
  <si>
    <t>OPP 0.8MIL 12"ROLL PLAIN</t>
  </si>
  <si>
    <t>V00288 TUFFLEX 72MMX914M HM195 HOTMLT CST TP CLR@4</t>
  </si>
  <si>
    <t>HOT MELT PELLETS PHC8250</t>
  </si>
  <si>
    <t>CARTON AUTOFILL TF PUFF PASTRY V2</t>
  </si>
  <si>
    <t>LABEL-PRS PASTRY BITES CINNABON US</t>
  </si>
  <si>
    <t>CARTON AUTOFILL TF PATTY SHELL V2</t>
  </si>
  <si>
    <t>BAG-U PLYBAG4474H</t>
  </si>
  <si>
    <t>7151QT 72MM X 914M CLEAR TAPE</t>
  </si>
  <si>
    <t>DICED APPLE PASTRY FILLING 60%</t>
  </si>
  <si>
    <t>YEAST-LIQUID BULK</t>
  </si>
  <si>
    <t>BUTTER UNSALTED</t>
  </si>
  <si>
    <t>FROZEN CROISSANT IMPROVER</t>
  </si>
  <si>
    <t>IREP UNSALTED BUTTER</t>
  </si>
  <si>
    <t>FLOUR WHITE ADA &amp; CS FREE</t>
  </si>
  <si>
    <t>DEXTROSE</t>
  </si>
  <si>
    <t>TEA BISCUIT MIX TOTE</t>
  </si>
  <si>
    <t>SUCROSE GRANULAR FINE WHITE 20</t>
  </si>
  <si>
    <t>PASTRY IMPROVER</t>
  </si>
  <si>
    <t>SKIM MILK POWDER HIGH TEMP</t>
  </si>
  <si>
    <t>OLD YELLOW CHEDDAR CHEESE</t>
  </si>
  <si>
    <t>HFCS BULK</t>
  </si>
  <si>
    <t>PREMIUM STRAWBERRY PASTRY FILLING39899</t>
  </si>
  <si>
    <t>GOLDEN VEG-PUFF MARGARINE NH</t>
  </si>
  <si>
    <t>FRUITFIL DICED APPLE</t>
  </si>
  <si>
    <t>SULTANA RAISINS-TDL</t>
  </si>
  <si>
    <t>ARTIFICIAL GRANULAR BUTTER FLAVOR</t>
  </si>
  <si>
    <t>BAKING POWDER ARTISAN</t>
  </si>
  <si>
    <t>ASCORBIC ACID PAR 60 TABLETS</t>
  </si>
  <si>
    <t>PREMIUM CHERRY FILLING</t>
  </si>
  <si>
    <t>NH 20 ALL PURPOSE SHORTENING</t>
  </si>
  <si>
    <t>SUCROSE COARSE - (20 KG)</t>
  </si>
  <si>
    <t>LARD CUBES</t>
  </si>
  <si>
    <t>SHORTENING FLAKE FLAVOURED</t>
  </si>
  <si>
    <t>OIL LIQUID VEGETABLE TOTE</t>
  </si>
  <si>
    <t>SHORTENING COVO NH</t>
  </si>
  <si>
    <t>SALT HYGRADE YPS 20KG BAG</t>
  </si>
  <si>
    <t>TEA BISCUIT MIX</t>
  </si>
  <si>
    <t>FRUITFIL CHERRY</t>
  </si>
  <si>
    <t>TDL SCONE BASE</t>
  </si>
  <si>
    <t>FILLING CRM CHS PASTRY-SB</t>
  </si>
  <si>
    <t>FLOUR PASTRY BAG</t>
  </si>
  <si>
    <t>APPLE PASTRY FILLING</t>
  </si>
  <si>
    <t>EXTENDO</t>
  </si>
  <si>
    <t>WHEY POWDER</t>
  </si>
  <si>
    <t>MONARCH SUPREME MARGARINE NH</t>
  </si>
  <si>
    <t>White Chocolate Chunks 600ct</t>
  </si>
  <si>
    <t>SEA SALT FINE CODE 2900</t>
  </si>
  <si>
    <t>FLOUR PASTRY BULK</t>
  </si>
  <si>
    <t>YOKOLINE COLOUR</t>
  </si>
  <si>
    <t>40KG BAGGED ADA FREE WHITE FLOUR</t>
  </si>
  <si>
    <t>FROZEN DOUGH CONDITIONER</t>
  </si>
  <si>
    <t>CRANBERRIES SWEET AND DRIED</t>
  </si>
  <si>
    <t>DARK CHOCOLATE STICKS</t>
  </si>
  <si>
    <t>NO SHRINK</t>
  </si>
  <si>
    <t>SUNFLOWER LECITHIN</t>
  </si>
  <si>
    <t>BAGEL CROISSANT BASE VERSION 1</t>
  </si>
  <si>
    <t>BAKING SODA</t>
  </si>
  <si>
    <t>CINNAMON NT FLAKES</t>
  </si>
  <si>
    <t>YEAST BAG</t>
  </si>
  <si>
    <t>BUTTER FLAVORED MARGARINE - NH</t>
  </si>
  <si>
    <t>BUTTER FLAVOUR NAT &amp; ART- LIQUID</t>
  </si>
  <si>
    <t>LEMONADE FLAV PASTRY FILLING</t>
  </si>
  <si>
    <t>CLEAR-COLORLESS FAT FLAKES</t>
  </si>
  <si>
    <t>MILK POWDER BUTTERMILK</t>
  </si>
  <si>
    <t>CHOCOLATE STICKS SEMI SWEET</t>
  </si>
  <si>
    <t>APPLES EVAPORATED 1/4IN DICED</t>
  </si>
  <si>
    <t>RASPBERRY PASTRY FILLING</t>
  </si>
  <si>
    <t>BLUEBERRY IQF WILD</t>
  </si>
  <si>
    <t>TRQ UNSALTED BUTTER</t>
  </si>
  <si>
    <t>APPLE PASTRY FILLING CLEAN LABEL</t>
  </si>
  <si>
    <t>NON-PHO BLUEBERRY BITES</t>
  </si>
  <si>
    <t>SUGAR MAKARA CINNAMON BLEND</t>
  </si>
  <si>
    <t>MAKARA CINNAMON FILLING</t>
  </si>
  <si>
    <t>Free Running Iodized Hygrade #1 Salt</t>
  </si>
  <si>
    <t>3inch Tart Shell Foils</t>
  </si>
  <si>
    <t>FLAVOUR BUTTERSCOTCH ARTIFICAL</t>
  </si>
  <si>
    <t>Minor</t>
  </si>
  <si>
    <t>Major</t>
  </si>
  <si>
    <t>Critical</t>
  </si>
  <si>
    <t>P 01Minor</t>
  </si>
  <si>
    <t>P 01Major</t>
  </si>
  <si>
    <t>P 01Critical</t>
  </si>
  <si>
    <t>P 01</t>
  </si>
  <si>
    <t>P 02Minor</t>
  </si>
  <si>
    <t>P 02Major</t>
  </si>
  <si>
    <t>P 02Critical</t>
  </si>
  <si>
    <t>P 02</t>
  </si>
  <si>
    <t>P 03Minor</t>
  </si>
  <si>
    <t>P 03Major</t>
  </si>
  <si>
    <t>P 03Critical</t>
  </si>
  <si>
    <t>P 03</t>
  </si>
  <si>
    <t>P 04Minor</t>
  </si>
  <si>
    <t>P 04Major</t>
  </si>
  <si>
    <t>P 04Critical</t>
  </si>
  <si>
    <t>P 04</t>
  </si>
  <si>
    <t>P 05Minor</t>
  </si>
  <si>
    <t>P 05Major</t>
  </si>
  <si>
    <t>P 05Critical</t>
  </si>
  <si>
    <t>P 05</t>
  </si>
  <si>
    <t>P 06Minor</t>
  </si>
  <si>
    <t>P 06Major</t>
  </si>
  <si>
    <t>P 06Critical</t>
  </si>
  <si>
    <t>P 06</t>
  </si>
  <si>
    <t>P 07Minor</t>
  </si>
  <si>
    <t>P 07Major</t>
  </si>
  <si>
    <t>P 07Critical</t>
  </si>
  <si>
    <t>P 07</t>
  </si>
  <si>
    <t>P 08Minor</t>
  </si>
  <si>
    <t>P 08Major</t>
  </si>
  <si>
    <t>P 08Critical</t>
  </si>
  <si>
    <t>P 08</t>
  </si>
  <si>
    <t>P 09Minor</t>
  </si>
  <si>
    <t>P 09Major</t>
  </si>
  <si>
    <t>P 09Critical</t>
  </si>
  <si>
    <t>P 09</t>
  </si>
  <si>
    <t>P 10Minor</t>
  </si>
  <si>
    <t>P 10Major</t>
  </si>
  <si>
    <t>P 10Critical</t>
  </si>
  <si>
    <t>P 10</t>
  </si>
  <si>
    <t>P 11Minor</t>
  </si>
  <si>
    <t>P 11Major</t>
  </si>
  <si>
    <t>P 11Critical</t>
  </si>
  <si>
    <t>P 11</t>
  </si>
  <si>
    <t>P 12Minor</t>
  </si>
  <si>
    <t>P 12Major</t>
  </si>
  <si>
    <t>P 12Critical</t>
  </si>
  <si>
    <t>P 12</t>
  </si>
  <si>
    <t>Jowett</t>
  </si>
  <si>
    <t xml:space="preserve">AFFCO </t>
  </si>
  <si>
    <t>Aliments Asta</t>
  </si>
  <si>
    <t>American Food Group</t>
  </si>
  <si>
    <t>Beef Paraguay</t>
  </si>
  <si>
    <t>London Foods</t>
  </si>
  <si>
    <t>Canada Compound</t>
  </si>
  <si>
    <t>Cargil</t>
  </si>
  <si>
    <t>Frigo</t>
  </si>
  <si>
    <t>Consco</t>
  </si>
  <si>
    <t>Cledinor</t>
  </si>
  <si>
    <t>Conestoga</t>
  </si>
  <si>
    <t>Exceldor</t>
  </si>
  <si>
    <t>Greenlea</t>
  </si>
  <si>
    <t>JBS</t>
  </si>
  <si>
    <t>Halco</t>
  </si>
  <si>
    <t>Lacroix</t>
  </si>
  <si>
    <t>Australian Country</t>
  </si>
  <si>
    <t>Pure Foods</t>
  </si>
  <si>
    <t>Leadbetter</t>
  </si>
  <si>
    <t>Malabar</t>
  </si>
  <si>
    <t>Paradise</t>
  </si>
  <si>
    <t>Non Conformance Report Log</t>
  </si>
  <si>
    <t>Form: RC-34</t>
  </si>
  <si>
    <t>Column1</t>
  </si>
  <si>
    <t>NC #</t>
  </si>
  <si>
    <t>Date Open</t>
  </si>
  <si>
    <t>Period</t>
  </si>
  <si>
    <t>lngredient / Packaging</t>
  </si>
  <si>
    <t>Supplier</t>
  </si>
  <si>
    <t>Rating</t>
  </si>
  <si>
    <t>Reason for Non-Conformance</t>
  </si>
  <si>
    <t>Corrective Action</t>
  </si>
  <si>
    <t>Opened by</t>
  </si>
  <si>
    <t>Closed on</t>
  </si>
  <si>
    <t>Graph 1</t>
  </si>
  <si>
    <t>ncr-01-2026</t>
  </si>
  <si>
    <t>Ingredient</t>
  </si>
  <si>
    <t>blue sleeve found in pork trim tote</t>
  </si>
  <si>
    <t xml:space="preserve">placed on hold any materiial used, contacted supplier for full credit
</t>
  </si>
  <si>
    <t>Stephanie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</si>
</sst>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0"/>
      <name val="Arial"/>
    </font>
    <font>
      <sz val="10"/>
      <color indexed="9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 wrapText="1"/>
      <protection locked="0"/>
    </xf>
    <xf numFmtId="15" fontId="0" fillId="0" borderId="0" xfId="0" applyNumberForma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1" fontId="4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>
      <alignment horizontal="right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/>
    <xf numFmtId="0" fontId="0" fillId="0" borderId="5" xfId="0" applyBorder="1" applyAlignment="1">
      <alignment horizont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5" fillId="2" borderId="6" xfId="0" applyNumberFormat="1" applyFont="1" applyFill="1" applyBorder="1" applyAlignment="1">
      <alignment horizontal="center" vertical="center" wrapText="1"/>
    </xf>
    <xf numFmtId="164" fontId="0" fillId="0" borderId="9" xfId="0" applyNumberForma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0" fontId="4" fillId="0" borderId="9" xfId="0" applyFont="1" applyBorder="1" applyAlignment="1" applyProtection="1">
      <alignment vertical="center" wrapText="1"/>
      <protection locked="0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/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vertical="center" wrapText="1"/>
      <protection locked="0"/>
    </xf>
    <xf numFmtId="164" fontId="4" fillId="0" borderId="2" xfId="0" applyNumberFormat="1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vertical="center" wrapText="1"/>
      <protection locked="0"/>
    </xf>
    <xf numFmtId="15" fontId="0" fillId="0" borderId="0" xfId="0" applyNumberFormat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 vertical="center" wrapText="1"/>
      <protection locked="0"/>
    </xf>
    <xf numFmtId="15" fontId="4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28">
    <dxf>
      <font>
        <condense val="0"/>
        <extend val="0"/>
        <color auto="1"/>
      </font>
      <fill>
        <patternFill>
          <bgColor indexed="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numFmt numFmtId="164" formatCode="[$-409]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4" formatCode="[$-409]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</a:t>
            </a:r>
            <a:r>
              <a:rPr lang="en-US" baseline="0"/>
              <a:t> </a:t>
            </a:r>
            <a:r>
              <a:rPr lang="en-US"/>
              <a:t>NCR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Graph!$E$1</c:f>
              <c:strCache>
                <c:ptCount val="1"/>
                <c:pt idx="0">
                  <c:v>Minor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Graph!$D$2:$D$13</c:f>
              <c:strCache>
                <c:ptCount val="12"/>
                <c:pt idx="0">
                  <c:v>P 01</c:v>
                </c:pt>
                <c:pt idx="1">
                  <c:v>P 02</c:v>
                </c:pt>
                <c:pt idx="2">
                  <c:v>P 03</c:v>
                </c:pt>
                <c:pt idx="3">
                  <c:v>P 04</c:v>
                </c:pt>
                <c:pt idx="4">
                  <c:v>P 05</c:v>
                </c:pt>
                <c:pt idx="5">
                  <c:v>P 06</c:v>
                </c:pt>
                <c:pt idx="6">
                  <c:v>P 07</c:v>
                </c:pt>
                <c:pt idx="7">
                  <c:v>P 08</c:v>
                </c:pt>
                <c:pt idx="8">
                  <c:v>P 09</c:v>
                </c:pt>
                <c:pt idx="9">
                  <c:v>P 10</c:v>
                </c:pt>
                <c:pt idx="10">
                  <c:v>P 11</c:v>
                </c:pt>
                <c:pt idx="11">
                  <c:v>P 12</c:v>
                </c:pt>
              </c:strCache>
            </c:strRef>
          </c:cat>
          <c:val>
            <c:numRef>
              <c:f>Graph!$E$2:$E$13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7-4E67-BA36-84E5AE3A1730}"/>
            </c:ext>
          </c:extLst>
        </c:ser>
        <c:ser>
          <c:idx val="1"/>
          <c:order val="1"/>
          <c:tx>
            <c:strRef>
              <c:f>Graph!$F$1</c:f>
              <c:strCache>
                <c:ptCount val="1"/>
                <c:pt idx="0">
                  <c:v>Major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Graph!$D$2:$D$13</c:f>
              <c:strCache>
                <c:ptCount val="12"/>
                <c:pt idx="0">
                  <c:v>P 01</c:v>
                </c:pt>
                <c:pt idx="1">
                  <c:v>P 02</c:v>
                </c:pt>
                <c:pt idx="2">
                  <c:v>P 03</c:v>
                </c:pt>
                <c:pt idx="3">
                  <c:v>P 04</c:v>
                </c:pt>
                <c:pt idx="4">
                  <c:v>P 05</c:v>
                </c:pt>
                <c:pt idx="5">
                  <c:v>P 06</c:v>
                </c:pt>
                <c:pt idx="6">
                  <c:v>P 07</c:v>
                </c:pt>
                <c:pt idx="7">
                  <c:v>P 08</c:v>
                </c:pt>
                <c:pt idx="8">
                  <c:v>P 09</c:v>
                </c:pt>
                <c:pt idx="9">
                  <c:v>P 10</c:v>
                </c:pt>
                <c:pt idx="10">
                  <c:v>P 11</c:v>
                </c:pt>
                <c:pt idx="11">
                  <c:v>P 12</c:v>
                </c:pt>
              </c:strCache>
            </c:strRef>
          </c:cat>
          <c:val>
            <c:numRef>
              <c:f>Graph!$F$2:$F$13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7-4E67-BA36-84E5AE3A1730}"/>
            </c:ext>
          </c:extLst>
        </c:ser>
        <c:ser>
          <c:idx val="2"/>
          <c:order val="2"/>
          <c:tx>
            <c:strRef>
              <c:f>Graph!$G$1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Graph!$D$2:$D$13</c:f>
              <c:strCache>
                <c:ptCount val="12"/>
                <c:pt idx="0">
                  <c:v>P 01</c:v>
                </c:pt>
                <c:pt idx="1">
                  <c:v>P 02</c:v>
                </c:pt>
                <c:pt idx="2">
                  <c:v>P 03</c:v>
                </c:pt>
                <c:pt idx="3">
                  <c:v>P 04</c:v>
                </c:pt>
                <c:pt idx="4">
                  <c:v>P 05</c:v>
                </c:pt>
                <c:pt idx="5">
                  <c:v>P 06</c:v>
                </c:pt>
                <c:pt idx="6">
                  <c:v>P 07</c:v>
                </c:pt>
                <c:pt idx="7">
                  <c:v>P 08</c:v>
                </c:pt>
                <c:pt idx="8">
                  <c:v>P 09</c:v>
                </c:pt>
                <c:pt idx="9">
                  <c:v>P 10</c:v>
                </c:pt>
                <c:pt idx="10">
                  <c:v>P 11</c:v>
                </c:pt>
                <c:pt idx="11">
                  <c:v>P 12</c:v>
                </c:pt>
              </c:strCache>
            </c:strRef>
          </c:cat>
          <c:val>
            <c:numRef>
              <c:f>Graph!$G$2:$G$13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F7-4E67-BA36-84E5AE3A1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5411456"/>
        <c:axId val="715409888"/>
      </c:barChart>
      <c:catAx>
        <c:axId val="71541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09888"/>
        <c:crosses val="autoZero"/>
        <c:auto val="1"/>
        <c:lblAlgn val="ctr"/>
        <c:lblOffset val="100"/>
        <c:noMultiLvlLbl val="0"/>
      </c:catAx>
      <c:valAx>
        <c:axId val="7154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11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NCR b</a:t>
            </a:r>
            <a:r>
              <a:rPr lang="en-US" baseline="0"/>
              <a:t>y Supplier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Graph!$E$16</c:f>
              <c:strCache>
                <c:ptCount val="1"/>
                <c:pt idx="0">
                  <c:v>Minor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Graph!$D$17:$D$48</c:f>
              <c:strCache>
                <c:ptCount val="22"/>
                <c:pt idx="0">
                  <c:v>Jowett</c:v>
                </c:pt>
                <c:pt idx="1">
                  <c:v>AFFCO </c:v>
                </c:pt>
                <c:pt idx="2">
                  <c:v>Aliments Asta</c:v>
                </c:pt>
                <c:pt idx="3">
                  <c:v>American Food Group</c:v>
                </c:pt>
                <c:pt idx="4">
                  <c:v>Beef Paraguay</c:v>
                </c:pt>
                <c:pt idx="5">
                  <c:v>London Foods</c:v>
                </c:pt>
                <c:pt idx="6">
                  <c:v>Canada Compound</c:v>
                </c:pt>
                <c:pt idx="7">
                  <c:v>Cargil</c:v>
                </c:pt>
                <c:pt idx="8">
                  <c:v>Frigo</c:v>
                </c:pt>
                <c:pt idx="9">
                  <c:v>Consco</c:v>
                </c:pt>
                <c:pt idx="10">
                  <c:v>Cledinor</c:v>
                </c:pt>
                <c:pt idx="11">
                  <c:v>Conestoga</c:v>
                </c:pt>
                <c:pt idx="12">
                  <c:v>Exceldor</c:v>
                </c:pt>
                <c:pt idx="13">
                  <c:v>Greenlea</c:v>
                </c:pt>
                <c:pt idx="14">
                  <c:v>JBS</c:v>
                </c:pt>
                <c:pt idx="15">
                  <c:v>Halco</c:v>
                </c:pt>
                <c:pt idx="16">
                  <c:v>Lacroix</c:v>
                </c:pt>
                <c:pt idx="17">
                  <c:v>Australian Country</c:v>
                </c:pt>
                <c:pt idx="18">
                  <c:v>Pure Foods</c:v>
                </c:pt>
                <c:pt idx="19">
                  <c:v>Leadbetter</c:v>
                </c:pt>
                <c:pt idx="20">
                  <c:v>Malabar</c:v>
                </c:pt>
                <c:pt idx="21">
                  <c:v>Paradise</c:v>
                </c:pt>
              </c:strCache>
            </c:strRef>
          </c:cat>
          <c:val>
            <c:numRef>
              <c:f>Graph!$E$17:$E$48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3CCB-4182-9636-87A8FB7BFD0B}"/>
            </c:ext>
          </c:extLst>
        </c:ser>
        <c:ser>
          <c:idx val="1"/>
          <c:order val="1"/>
          <c:tx>
            <c:strRef>
              <c:f>Graph!$F$16</c:f>
              <c:strCache>
                <c:ptCount val="1"/>
                <c:pt idx="0">
                  <c:v>Major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Graph!$D$17:$D$48</c:f>
              <c:strCache>
                <c:ptCount val="22"/>
                <c:pt idx="0">
                  <c:v>Jowett</c:v>
                </c:pt>
                <c:pt idx="1">
                  <c:v>AFFCO </c:v>
                </c:pt>
                <c:pt idx="2">
                  <c:v>Aliments Asta</c:v>
                </c:pt>
                <c:pt idx="3">
                  <c:v>American Food Group</c:v>
                </c:pt>
                <c:pt idx="4">
                  <c:v>Beef Paraguay</c:v>
                </c:pt>
                <c:pt idx="5">
                  <c:v>London Foods</c:v>
                </c:pt>
                <c:pt idx="6">
                  <c:v>Canada Compound</c:v>
                </c:pt>
                <c:pt idx="7">
                  <c:v>Cargil</c:v>
                </c:pt>
                <c:pt idx="8">
                  <c:v>Frigo</c:v>
                </c:pt>
                <c:pt idx="9">
                  <c:v>Consco</c:v>
                </c:pt>
                <c:pt idx="10">
                  <c:v>Cledinor</c:v>
                </c:pt>
                <c:pt idx="11">
                  <c:v>Conestoga</c:v>
                </c:pt>
                <c:pt idx="12">
                  <c:v>Exceldor</c:v>
                </c:pt>
                <c:pt idx="13">
                  <c:v>Greenlea</c:v>
                </c:pt>
                <c:pt idx="14">
                  <c:v>JBS</c:v>
                </c:pt>
                <c:pt idx="15">
                  <c:v>Halco</c:v>
                </c:pt>
                <c:pt idx="16">
                  <c:v>Lacroix</c:v>
                </c:pt>
                <c:pt idx="17">
                  <c:v>Australian Country</c:v>
                </c:pt>
                <c:pt idx="18">
                  <c:v>Pure Foods</c:v>
                </c:pt>
                <c:pt idx="19">
                  <c:v>Leadbetter</c:v>
                </c:pt>
                <c:pt idx="20">
                  <c:v>Malabar</c:v>
                </c:pt>
                <c:pt idx="21">
                  <c:v>Paradise</c:v>
                </c:pt>
              </c:strCache>
            </c:strRef>
          </c:cat>
          <c:val>
            <c:numRef>
              <c:f>Graph!$F$17:$F$48</c:f>
              <c:numCache>
                <c:formatCode>General</c:formatCode>
                <c:ptCount val="3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B-4182-9636-87A8FB7BFD0B}"/>
            </c:ext>
          </c:extLst>
        </c:ser>
        <c:ser>
          <c:idx val="2"/>
          <c:order val="2"/>
          <c:tx>
            <c:strRef>
              <c:f>Graph!$G$16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Graph!$D$17:$D$48</c:f>
              <c:strCache>
                <c:ptCount val="22"/>
                <c:pt idx="0">
                  <c:v>Jowett</c:v>
                </c:pt>
                <c:pt idx="1">
                  <c:v>AFFCO </c:v>
                </c:pt>
                <c:pt idx="2">
                  <c:v>Aliments Asta</c:v>
                </c:pt>
                <c:pt idx="3">
                  <c:v>American Food Group</c:v>
                </c:pt>
                <c:pt idx="4">
                  <c:v>Beef Paraguay</c:v>
                </c:pt>
                <c:pt idx="5">
                  <c:v>London Foods</c:v>
                </c:pt>
                <c:pt idx="6">
                  <c:v>Canada Compound</c:v>
                </c:pt>
                <c:pt idx="7">
                  <c:v>Cargil</c:v>
                </c:pt>
                <c:pt idx="8">
                  <c:v>Frigo</c:v>
                </c:pt>
                <c:pt idx="9">
                  <c:v>Consco</c:v>
                </c:pt>
                <c:pt idx="10">
                  <c:v>Cledinor</c:v>
                </c:pt>
                <c:pt idx="11">
                  <c:v>Conestoga</c:v>
                </c:pt>
                <c:pt idx="12">
                  <c:v>Exceldor</c:v>
                </c:pt>
                <c:pt idx="13">
                  <c:v>Greenlea</c:v>
                </c:pt>
                <c:pt idx="14">
                  <c:v>JBS</c:v>
                </c:pt>
                <c:pt idx="15">
                  <c:v>Halco</c:v>
                </c:pt>
                <c:pt idx="16">
                  <c:v>Lacroix</c:v>
                </c:pt>
                <c:pt idx="17">
                  <c:v>Australian Country</c:v>
                </c:pt>
                <c:pt idx="18">
                  <c:v>Pure Foods</c:v>
                </c:pt>
                <c:pt idx="19">
                  <c:v>Leadbetter</c:v>
                </c:pt>
                <c:pt idx="20">
                  <c:v>Malabar</c:v>
                </c:pt>
                <c:pt idx="21">
                  <c:v>Paradise</c:v>
                </c:pt>
              </c:strCache>
            </c:strRef>
          </c:cat>
          <c:val>
            <c:numRef>
              <c:f>Graph!$G$17:$G$22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3CCB-4182-9636-87A8FB7BF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0315008"/>
        <c:axId val="1770315400"/>
      </c:barChart>
      <c:catAx>
        <c:axId val="177031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315400"/>
        <c:crosses val="autoZero"/>
        <c:auto val="1"/>
        <c:lblAlgn val="ctr"/>
        <c:lblOffset val="100"/>
        <c:noMultiLvlLbl val="0"/>
      </c:catAx>
      <c:valAx>
        <c:axId val="177031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315008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600076</xdr:colOff>
      <xdr:row>0</xdr:row>
      <xdr:rowOff>0</xdr:rowOff>
    </xdr:from>
    <xdr:to>
      <xdr:col>16</xdr:col>
      <xdr:colOff>590550</xdr:colOff>
      <xdr:row>14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15</xdr:row>
      <xdr:rowOff>14287</xdr:rowOff>
    </xdr:from>
    <xdr:to>
      <xdr:col>17</xdr:col>
      <xdr:colOff>600075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24" totalsRowShown="0" headerRowDxfId="27" dataDxfId="25" headerRowBorderDxfId="26" tableBorderDxfId="24" totalsRowBorderDxfId="23">
  <autoFilter ref="A1:C124" xr:uid="{00000000-0009-0000-0100-000001000000}"/>
  <sortState xmlns:xlrd2="http://schemas.microsoft.com/office/spreadsheetml/2017/richdata2" ref="A2:C81">
    <sortCondition ref="C2:C81"/>
  </sortState>
  <tableColumns count="3">
    <tableColumn id="1" xr3:uid="{00000000-0010-0000-0000-000001000000}" name="Item #" dataDxfId="22"/>
    <tableColumn id="2" xr3:uid="{00000000-0010-0000-0000-000002000000}" name="Item Description" dataDxfId="21"/>
    <tableColumn id="3" xr3:uid="{00000000-0010-0000-0000-000003000000}" name="Category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N16" totalsRowShown="0" headerRowDxfId="19" dataDxfId="17" headerRowBorderDxfId="18" tableBorderDxfId="16" totalsRowBorderDxfId="15">
  <autoFilter ref="A3:N16" xr:uid="{00000000-0009-0000-0100-000002000000}"/>
  <tableColumns count="14">
    <tableColumn id="1" xr3:uid="{00000000-0010-0000-0100-000001000000}" name="Column1" dataDxfId="14"/>
    <tableColumn id="22" xr3:uid="{00000000-0010-0000-0100-000016000000}" name="NC #" dataDxfId="13"/>
    <tableColumn id="2" xr3:uid="{00000000-0010-0000-0100-000002000000}" name="Date Open" dataDxfId="12"/>
    <tableColumn id="3" xr3:uid="{00000000-0010-0000-0100-000003000000}" name="Period" dataDxfId="11"/>
    <tableColumn id="4" xr3:uid="{00000000-0010-0000-0100-000004000000}" name="lngredient / Packaging" dataDxfId="10"/>
    <tableColumn id="5" xr3:uid="{00000000-0010-0000-0100-000005000000}" name="Item #" dataDxfId="9"/>
    <tableColumn id="6" xr3:uid="{00000000-0010-0000-0100-000006000000}" name="Item Description" dataDxfId="8">
      <calculatedColumnFormula>IF(Table2[[#This Row],[Item '#]]="","",VLOOKUP(F4,'Raw Material List'!A:B,2,FALSE))</calculatedColumnFormula>
    </tableColumn>
    <tableColumn id="9" xr3:uid="{00000000-0010-0000-0100-000009000000}" name="Supplier" dataDxfId="7"/>
    <tableColumn id="13" xr3:uid="{00000000-0010-0000-0100-00000D000000}" name="Rating" dataDxfId="6"/>
    <tableColumn id="7" xr3:uid="{00000000-0010-0000-0100-000007000000}" name="Reason for Non-Conformance" dataDxfId="5"/>
    <tableColumn id="14" xr3:uid="{00000000-0010-0000-0100-00000E000000}" name="Corrective Action" dataDxfId="4"/>
    <tableColumn id="8" xr3:uid="{00000000-0010-0000-0100-000008000000}" name="Opened by" dataDxfId="3"/>
    <tableColumn id="12" xr3:uid="{00000000-0010-0000-0100-00000C000000}" name="Closed on" dataDxfId="2"/>
    <tableColumn id="10" xr3:uid="{00000000-0010-0000-0100-00000A000000}" name="Graph 1" dataDxfId="1">
      <calculatedColumnFormula>Table2[[#This Row],[Period]]&amp;Table2[[#This Row],[Rating]]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"/>
  <sheetViews>
    <sheetView workbookViewId="0">
      <selection activeCell="C2" sqref="C2"/>
    </sheetView>
  </sheetViews>
  <sheetFormatPr defaultRowHeight="12.5" x14ac:dyDescent="0.25"/>
  <cols>
    <col min="1" max="1" width="11.1796875" bestFit="1" customWidth="1"/>
    <col min="2" max="2" width="60.1796875" bestFit="1" customWidth="1"/>
  </cols>
  <sheetData>
    <row r="1" spans="1:3" x14ac:dyDescent="0.25">
      <c r="A1" s="20" t="s">
        <v>0</v>
      </c>
      <c r="B1" s="30" t="s">
        <v>1</v>
      </c>
      <c r="C1" s="30" t="s">
        <v>2</v>
      </c>
    </row>
    <row r="2" spans="1:3" x14ac:dyDescent="0.25">
      <c r="A2" s="38">
        <v>10042</v>
      </c>
      <c r="B2" s="39" t="s">
        <v>3</v>
      </c>
      <c r="C2" s="38" t="s">
        <v>4</v>
      </c>
    </row>
    <row r="3" spans="1:3" x14ac:dyDescent="0.25">
      <c r="A3" s="38">
        <v>20000160</v>
      </c>
      <c r="B3" s="38" t="s">
        <v>5</v>
      </c>
      <c r="C3" s="38" t="s">
        <v>6</v>
      </c>
    </row>
    <row r="4" spans="1:3" x14ac:dyDescent="0.25">
      <c r="A4" s="38">
        <v>10062451</v>
      </c>
      <c r="B4" s="38" t="s">
        <v>7</v>
      </c>
      <c r="C4" s="38" t="s">
        <v>6</v>
      </c>
    </row>
    <row r="5" spans="1:3" x14ac:dyDescent="0.25">
      <c r="A5" s="38">
        <v>10060523</v>
      </c>
      <c r="B5" s="38" t="s">
        <v>8</v>
      </c>
      <c r="C5" s="38" t="s">
        <v>6</v>
      </c>
    </row>
    <row r="6" spans="1:3" x14ac:dyDescent="0.25">
      <c r="A6" s="38">
        <v>20004763</v>
      </c>
      <c r="B6" s="38" t="s">
        <v>9</v>
      </c>
      <c r="C6" s="38" t="s">
        <v>6</v>
      </c>
    </row>
    <row r="7" spans="1:3" x14ac:dyDescent="0.25">
      <c r="A7" s="38">
        <v>20002267</v>
      </c>
      <c r="B7" s="38" t="s">
        <v>10</v>
      </c>
      <c r="C7" s="38" t="s">
        <v>6</v>
      </c>
    </row>
    <row r="8" spans="1:3" x14ac:dyDescent="0.25">
      <c r="A8" s="38">
        <v>20021807</v>
      </c>
      <c r="B8" s="38" t="s">
        <v>11</v>
      </c>
      <c r="C8" s="38" t="s">
        <v>6</v>
      </c>
    </row>
    <row r="9" spans="1:3" x14ac:dyDescent="0.25">
      <c r="A9" s="38">
        <v>20021808</v>
      </c>
      <c r="B9" s="38" t="s">
        <v>12</v>
      </c>
      <c r="C9" s="38" t="s">
        <v>6</v>
      </c>
    </row>
    <row r="10" spans="1:3" x14ac:dyDescent="0.25">
      <c r="A10" s="38">
        <v>10060454</v>
      </c>
      <c r="B10" s="38" t="s">
        <v>13</v>
      </c>
      <c r="C10" s="38" t="s">
        <v>6</v>
      </c>
    </row>
    <row r="11" spans="1:3" x14ac:dyDescent="0.25">
      <c r="A11" s="38">
        <v>10060519</v>
      </c>
      <c r="B11" s="38" t="s">
        <v>14</v>
      </c>
      <c r="C11" s="38" t="s">
        <v>6</v>
      </c>
    </row>
    <row r="12" spans="1:3" x14ac:dyDescent="0.25">
      <c r="A12" s="38">
        <v>20021689</v>
      </c>
      <c r="B12" s="38" t="s">
        <v>15</v>
      </c>
      <c r="C12" s="38" t="s">
        <v>6</v>
      </c>
    </row>
    <row r="13" spans="1:3" x14ac:dyDescent="0.25">
      <c r="A13" s="38">
        <v>20014916</v>
      </c>
      <c r="B13" s="38" t="s">
        <v>16</v>
      </c>
      <c r="C13" s="38" t="s">
        <v>6</v>
      </c>
    </row>
    <row r="14" spans="1:3" x14ac:dyDescent="0.25">
      <c r="A14" s="38">
        <v>20007960</v>
      </c>
      <c r="B14" s="38" t="s">
        <v>17</v>
      </c>
      <c r="C14" s="38" t="s">
        <v>6</v>
      </c>
    </row>
    <row r="15" spans="1:3" x14ac:dyDescent="0.25">
      <c r="A15" s="38">
        <v>20014911</v>
      </c>
      <c r="B15" s="38" t="s">
        <v>18</v>
      </c>
      <c r="C15" s="38" t="s">
        <v>6</v>
      </c>
    </row>
    <row r="16" spans="1:3" x14ac:dyDescent="0.25">
      <c r="A16" s="38">
        <v>20003145</v>
      </c>
      <c r="B16" s="38" t="s">
        <v>19</v>
      </c>
      <c r="C16" s="38" t="s">
        <v>6</v>
      </c>
    </row>
    <row r="17" spans="1:3" x14ac:dyDescent="0.25">
      <c r="A17" s="38">
        <v>20003143</v>
      </c>
      <c r="B17" s="38" t="s">
        <v>20</v>
      </c>
      <c r="C17" s="38" t="s">
        <v>6</v>
      </c>
    </row>
    <row r="18" spans="1:3" x14ac:dyDescent="0.25">
      <c r="A18" s="38">
        <v>20021727</v>
      </c>
      <c r="B18" s="38" t="s">
        <v>21</v>
      </c>
      <c r="C18" s="38" t="s">
        <v>6</v>
      </c>
    </row>
    <row r="19" spans="1:3" x14ac:dyDescent="0.25">
      <c r="A19" s="38">
        <v>20004737</v>
      </c>
      <c r="B19" s="38" t="s">
        <v>22</v>
      </c>
      <c r="C19" s="38" t="s">
        <v>6</v>
      </c>
    </row>
    <row r="20" spans="1:3" x14ac:dyDescent="0.25">
      <c r="A20" s="38">
        <v>20020266</v>
      </c>
      <c r="B20" s="38" t="s">
        <v>23</v>
      </c>
      <c r="C20" s="38" t="s">
        <v>6</v>
      </c>
    </row>
    <row r="21" spans="1:3" x14ac:dyDescent="0.25">
      <c r="A21" s="38">
        <v>20002265</v>
      </c>
      <c r="B21" s="38" t="s">
        <v>24</v>
      </c>
      <c r="C21" s="38" t="s">
        <v>6</v>
      </c>
    </row>
    <row r="22" spans="1:3" x14ac:dyDescent="0.25">
      <c r="A22" s="38">
        <v>20003043</v>
      </c>
      <c r="B22" s="38" t="s">
        <v>25</v>
      </c>
      <c r="C22" s="38" t="s">
        <v>6</v>
      </c>
    </row>
    <row r="23" spans="1:3" x14ac:dyDescent="0.25">
      <c r="A23" s="38">
        <v>20021236</v>
      </c>
      <c r="B23" s="38" t="s">
        <v>26</v>
      </c>
      <c r="C23" s="38" t="s">
        <v>6</v>
      </c>
    </row>
    <row r="24" spans="1:3" x14ac:dyDescent="0.25">
      <c r="A24" s="38">
        <v>10060509</v>
      </c>
      <c r="B24" s="38" t="s">
        <v>27</v>
      </c>
      <c r="C24" s="38" t="s">
        <v>6</v>
      </c>
    </row>
    <row r="25" spans="1:3" x14ac:dyDescent="0.25">
      <c r="A25" s="38">
        <v>10060506</v>
      </c>
      <c r="B25" s="38" t="s">
        <v>28</v>
      </c>
      <c r="C25" s="38" t="s">
        <v>6</v>
      </c>
    </row>
    <row r="26" spans="1:3" x14ac:dyDescent="0.25">
      <c r="A26" s="38">
        <v>20003491</v>
      </c>
      <c r="B26" s="38" t="s">
        <v>29</v>
      </c>
      <c r="C26" s="38" t="s">
        <v>6</v>
      </c>
    </row>
    <row r="27" spans="1:3" x14ac:dyDescent="0.25">
      <c r="A27" s="38">
        <v>20014094</v>
      </c>
      <c r="B27" s="38" t="s">
        <v>30</v>
      </c>
      <c r="C27" s="38" t="s">
        <v>6</v>
      </c>
    </row>
    <row r="28" spans="1:3" x14ac:dyDescent="0.25">
      <c r="A28" s="38">
        <v>20005062</v>
      </c>
      <c r="B28" s="38" t="s">
        <v>31</v>
      </c>
      <c r="C28" s="38" t="s">
        <v>6</v>
      </c>
    </row>
    <row r="29" spans="1:3" x14ac:dyDescent="0.25">
      <c r="A29" s="38">
        <v>20003154</v>
      </c>
      <c r="B29" s="38" t="s">
        <v>32</v>
      </c>
      <c r="C29" s="38" t="s">
        <v>6</v>
      </c>
    </row>
    <row r="30" spans="1:3" x14ac:dyDescent="0.25">
      <c r="A30" s="38">
        <v>20020265</v>
      </c>
      <c r="B30" s="38" t="s">
        <v>33</v>
      </c>
      <c r="C30" s="38" t="s">
        <v>6</v>
      </c>
    </row>
    <row r="31" spans="1:3" x14ac:dyDescent="0.25">
      <c r="A31" s="38">
        <v>20021690</v>
      </c>
      <c r="B31" s="38" t="s">
        <v>34</v>
      </c>
      <c r="C31" s="38" t="s">
        <v>6</v>
      </c>
    </row>
    <row r="32" spans="1:3" x14ac:dyDescent="0.25">
      <c r="A32" s="38">
        <v>10060527</v>
      </c>
      <c r="B32" s="38" t="s">
        <v>35</v>
      </c>
      <c r="C32" s="38" t="s">
        <v>6</v>
      </c>
    </row>
    <row r="33" spans="1:3" x14ac:dyDescent="0.25">
      <c r="A33" s="38">
        <v>10059898</v>
      </c>
      <c r="B33" s="38" t="s">
        <v>36</v>
      </c>
      <c r="C33" s="38" t="s">
        <v>6</v>
      </c>
    </row>
    <row r="34" spans="1:3" x14ac:dyDescent="0.25">
      <c r="A34" s="38">
        <v>20021691</v>
      </c>
      <c r="B34" s="38" t="s">
        <v>37</v>
      </c>
      <c r="C34" s="38" t="s">
        <v>6</v>
      </c>
    </row>
    <row r="35" spans="1:3" x14ac:dyDescent="0.25">
      <c r="A35" s="38">
        <v>10060504</v>
      </c>
      <c r="B35" s="38" t="s">
        <v>38</v>
      </c>
      <c r="C35" s="38" t="s">
        <v>6</v>
      </c>
    </row>
    <row r="36" spans="1:3" x14ac:dyDescent="0.25">
      <c r="A36" s="38">
        <v>10059899</v>
      </c>
      <c r="B36" s="38" t="s">
        <v>39</v>
      </c>
      <c r="C36" s="38" t="s">
        <v>6</v>
      </c>
    </row>
    <row r="37" spans="1:3" x14ac:dyDescent="0.25">
      <c r="A37" s="38">
        <v>20020267</v>
      </c>
      <c r="B37" s="38" t="s">
        <v>40</v>
      </c>
      <c r="C37" s="38" t="s">
        <v>6</v>
      </c>
    </row>
    <row r="38" spans="1:3" x14ac:dyDescent="0.25">
      <c r="A38" s="38">
        <v>20020064</v>
      </c>
      <c r="B38" s="38" t="s">
        <v>41</v>
      </c>
      <c r="C38" s="38" t="s">
        <v>6</v>
      </c>
    </row>
    <row r="39" spans="1:3" x14ac:dyDescent="0.25">
      <c r="A39" s="38">
        <v>10066726</v>
      </c>
      <c r="B39" s="38" t="s">
        <v>42</v>
      </c>
      <c r="C39" s="38" t="s">
        <v>6</v>
      </c>
    </row>
    <row r="40" spans="1:3" x14ac:dyDescent="0.25">
      <c r="A40" s="38">
        <v>20003051</v>
      </c>
      <c r="B40" s="38" t="s">
        <v>43</v>
      </c>
      <c r="C40" s="38" t="s">
        <v>6</v>
      </c>
    </row>
    <row r="41" spans="1:3" x14ac:dyDescent="0.25">
      <c r="A41" s="38">
        <v>10059902</v>
      </c>
      <c r="B41" s="38" t="s">
        <v>44</v>
      </c>
      <c r="C41" s="38" t="s">
        <v>6</v>
      </c>
    </row>
    <row r="42" spans="1:3" x14ac:dyDescent="0.25">
      <c r="A42" s="38">
        <v>20020419</v>
      </c>
      <c r="B42" s="38" t="s">
        <v>45</v>
      </c>
      <c r="C42" s="38" t="s">
        <v>6</v>
      </c>
    </row>
    <row r="43" spans="1:3" x14ac:dyDescent="0.25">
      <c r="A43" s="38">
        <v>20020065</v>
      </c>
      <c r="B43" s="38" t="s">
        <v>46</v>
      </c>
      <c r="C43" s="38" t="s">
        <v>6</v>
      </c>
    </row>
    <row r="44" spans="1:3" x14ac:dyDescent="0.25">
      <c r="A44" s="38">
        <v>20005150</v>
      </c>
      <c r="B44" s="38" t="s">
        <v>47</v>
      </c>
      <c r="C44" s="38" t="s">
        <v>6</v>
      </c>
    </row>
    <row r="45" spans="1:3" x14ac:dyDescent="0.25">
      <c r="A45" s="38">
        <v>10061536</v>
      </c>
      <c r="B45" s="38" t="s">
        <v>48</v>
      </c>
      <c r="C45" s="38" t="s">
        <v>6</v>
      </c>
    </row>
    <row r="46" spans="1:3" x14ac:dyDescent="0.25">
      <c r="A46" s="38">
        <v>20003144</v>
      </c>
      <c r="B46" s="38" t="s">
        <v>49</v>
      </c>
      <c r="C46" s="38" t="s">
        <v>6</v>
      </c>
    </row>
    <row r="47" spans="1:3" x14ac:dyDescent="0.25">
      <c r="A47" s="38">
        <v>20003490</v>
      </c>
      <c r="B47" s="38" t="s">
        <v>50</v>
      </c>
      <c r="C47" s="38" t="s">
        <v>6</v>
      </c>
    </row>
    <row r="48" spans="1:3" x14ac:dyDescent="0.25">
      <c r="A48" s="38">
        <v>20002898</v>
      </c>
      <c r="B48" s="38" t="s">
        <v>51</v>
      </c>
      <c r="C48" s="38" t="s">
        <v>6</v>
      </c>
    </row>
    <row r="49" spans="1:3" x14ac:dyDescent="0.25">
      <c r="A49" s="38">
        <v>10059857</v>
      </c>
      <c r="B49" s="38" t="s">
        <v>52</v>
      </c>
      <c r="C49" s="38" t="s">
        <v>6</v>
      </c>
    </row>
    <row r="50" spans="1:3" x14ac:dyDescent="0.25">
      <c r="A50" s="38">
        <v>20021738</v>
      </c>
      <c r="B50" s="38" t="s">
        <v>53</v>
      </c>
      <c r="C50" s="38" t="s">
        <v>6</v>
      </c>
    </row>
    <row r="51" spans="1:3" x14ac:dyDescent="0.25">
      <c r="A51" s="38">
        <v>20014561</v>
      </c>
      <c r="B51" s="38" t="s">
        <v>54</v>
      </c>
      <c r="C51" s="38" t="s">
        <v>6</v>
      </c>
    </row>
    <row r="52" spans="1:3" x14ac:dyDescent="0.25">
      <c r="A52" s="38">
        <v>20020275</v>
      </c>
      <c r="B52" s="38" t="s">
        <v>55</v>
      </c>
      <c r="C52" s="38" t="s">
        <v>6</v>
      </c>
    </row>
    <row r="53" spans="1:3" x14ac:dyDescent="0.25">
      <c r="A53" s="38">
        <v>20020595</v>
      </c>
      <c r="B53" s="38" t="s">
        <v>56</v>
      </c>
      <c r="C53" s="38" t="s">
        <v>6</v>
      </c>
    </row>
    <row r="54" spans="1:3" x14ac:dyDescent="0.25">
      <c r="A54" s="38">
        <v>20020276</v>
      </c>
      <c r="B54" s="38" t="s">
        <v>57</v>
      </c>
      <c r="C54" s="38" t="s">
        <v>6</v>
      </c>
    </row>
    <row r="55" spans="1:3" x14ac:dyDescent="0.25">
      <c r="A55" s="38">
        <v>20002266</v>
      </c>
      <c r="B55" s="38" t="s">
        <v>58</v>
      </c>
      <c r="C55" s="38" t="s">
        <v>6</v>
      </c>
    </row>
    <row r="56" spans="1:3" x14ac:dyDescent="0.25">
      <c r="A56" s="38">
        <v>10055360</v>
      </c>
      <c r="B56" s="38" t="s">
        <v>59</v>
      </c>
      <c r="C56" s="38" t="s">
        <v>6</v>
      </c>
    </row>
    <row r="57" spans="1:3" x14ac:dyDescent="0.25">
      <c r="A57" s="38">
        <v>20002456</v>
      </c>
      <c r="B57" s="38" t="s">
        <v>60</v>
      </c>
      <c r="C57" s="38" t="s">
        <v>4</v>
      </c>
    </row>
    <row r="58" spans="1:3" x14ac:dyDescent="0.25">
      <c r="A58" s="38">
        <v>10050134</v>
      </c>
      <c r="B58" s="38" t="s">
        <v>61</v>
      </c>
      <c r="C58" s="38" t="s">
        <v>4</v>
      </c>
    </row>
    <row r="59" spans="1:3" x14ac:dyDescent="0.25">
      <c r="A59" s="38">
        <v>10052007</v>
      </c>
      <c r="B59" s="38" t="s">
        <v>62</v>
      </c>
      <c r="C59" s="38" t="s">
        <v>4</v>
      </c>
    </row>
    <row r="60" spans="1:3" x14ac:dyDescent="0.25">
      <c r="A60" s="38">
        <v>20008733</v>
      </c>
      <c r="B60" s="38" t="s">
        <v>63</v>
      </c>
      <c r="C60" s="38" t="s">
        <v>4</v>
      </c>
    </row>
    <row r="61" spans="1:3" x14ac:dyDescent="0.25">
      <c r="A61" s="38">
        <v>20020322</v>
      </c>
      <c r="B61" s="38" t="s">
        <v>64</v>
      </c>
      <c r="C61" s="38" t="s">
        <v>4</v>
      </c>
    </row>
    <row r="62" spans="1:3" x14ac:dyDescent="0.25">
      <c r="A62" s="38">
        <v>10051097</v>
      </c>
      <c r="B62" s="38" t="s">
        <v>65</v>
      </c>
      <c r="C62" s="38" t="s">
        <v>4</v>
      </c>
    </row>
    <row r="63" spans="1:3" x14ac:dyDescent="0.25">
      <c r="A63" s="38">
        <v>10050441</v>
      </c>
      <c r="B63" s="38" t="s">
        <v>66</v>
      </c>
      <c r="C63" s="38" t="s">
        <v>4</v>
      </c>
    </row>
    <row r="64" spans="1:3" x14ac:dyDescent="0.25">
      <c r="A64" s="38">
        <v>20015713</v>
      </c>
      <c r="B64" s="38" t="s">
        <v>67</v>
      </c>
      <c r="C64" s="38" t="s">
        <v>4</v>
      </c>
    </row>
    <row r="65" spans="1:3" x14ac:dyDescent="0.25">
      <c r="A65" s="38">
        <v>10051060</v>
      </c>
      <c r="B65" s="38" t="s">
        <v>68</v>
      </c>
      <c r="C65" s="38" t="s">
        <v>4</v>
      </c>
    </row>
    <row r="66" spans="1:3" x14ac:dyDescent="0.25">
      <c r="A66" s="38">
        <v>20015007</v>
      </c>
      <c r="B66" s="38" t="s">
        <v>69</v>
      </c>
      <c r="C66" s="38" t="s">
        <v>4</v>
      </c>
    </row>
    <row r="67" spans="1:3" x14ac:dyDescent="0.25">
      <c r="A67" s="38">
        <v>10050224</v>
      </c>
      <c r="B67" s="38" t="s">
        <v>70</v>
      </c>
      <c r="C67" s="38" t="s">
        <v>4</v>
      </c>
    </row>
    <row r="68" spans="1:3" x14ac:dyDescent="0.25">
      <c r="A68" s="38">
        <v>20013716</v>
      </c>
      <c r="B68" s="38" t="s">
        <v>71</v>
      </c>
      <c r="C68" s="38" t="s">
        <v>4</v>
      </c>
    </row>
    <row r="69" spans="1:3" x14ac:dyDescent="0.25">
      <c r="A69" s="38">
        <v>10050152</v>
      </c>
      <c r="B69" s="38" t="s">
        <v>72</v>
      </c>
      <c r="C69" s="38" t="s">
        <v>4</v>
      </c>
    </row>
    <row r="70" spans="1:3" x14ac:dyDescent="0.25">
      <c r="A70" s="38">
        <v>20002455</v>
      </c>
      <c r="B70" s="38" t="s">
        <v>73</v>
      </c>
      <c r="C70" s="38" t="s">
        <v>4</v>
      </c>
    </row>
    <row r="71" spans="1:3" x14ac:dyDescent="0.25">
      <c r="A71" s="38">
        <v>20002504</v>
      </c>
      <c r="B71" s="38" t="s">
        <v>74</v>
      </c>
      <c r="C71" s="38" t="s">
        <v>4</v>
      </c>
    </row>
    <row r="72" spans="1:3" x14ac:dyDescent="0.25">
      <c r="A72" s="38">
        <v>20014947</v>
      </c>
      <c r="B72" s="38" t="s">
        <v>75</v>
      </c>
      <c r="C72" s="38" t="s">
        <v>4</v>
      </c>
    </row>
    <row r="73" spans="1:3" x14ac:dyDescent="0.25">
      <c r="A73" s="38">
        <v>20014821</v>
      </c>
      <c r="B73" s="38" t="s">
        <v>76</v>
      </c>
      <c r="C73" s="38" t="s">
        <v>4</v>
      </c>
    </row>
    <row r="74" spans="1:3" x14ac:dyDescent="0.25">
      <c r="A74" s="38">
        <v>20000446</v>
      </c>
      <c r="B74" s="38" t="s">
        <v>77</v>
      </c>
      <c r="C74" s="38" t="s">
        <v>4</v>
      </c>
    </row>
    <row r="75" spans="1:3" x14ac:dyDescent="0.25">
      <c r="A75" s="38">
        <v>10051066</v>
      </c>
      <c r="B75" s="38" t="s">
        <v>78</v>
      </c>
      <c r="C75" s="38" t="s">
        <v>4</v>
      </c>
    </row>
    <row r="76" spans="1:3" x14ac:dyDescent="0.25">
      <c r="A76" s="38">
        <v>10050115</v>
      </c>
      <c r="B76" s="38" t="s">
        <v>79</v>
      </c>
      <c r="C76" s="38" t="s">
        <v>4</v>
      </c>
    </row>
    <row r="77" spans="1:3" x14ac:dyDescent="0.25">
      <c r="A77" s="38">
        <v>20002930</v>
      </c>
      <c r="B77" s="38" t="s">
        <v>80</v>
      </c>
      <c r="C77" s="38" t="s">
        <v>4</v>
      </c>
    </row>
    <row r="78" spans="1:3" x14ac:dyDescent="0.25">
      <c r="A78" s="38">
        <v>20014808</v>
      </c>
      <c r="B78" s="38" t="s">
        <v>81</v>
      </c>
      <c r="C78" s="38" t="s">
        <v>4</v>
      </c>
    </row>
    <row r="79" spans="1:3" x14ac:dyDescent="0.25">
      <c r="A79" s="38">
        <v>20007298</v>
      </c>
      <c r="B79" s="38" t="s">
        <v>82</v>
      </c>
      <c r="C79" s="38" t="s">
        <v>4</v>
      </c>
    </row>
    <row r="80" spans="1:3" x14ac:dyDescent="0.25">
      <c r="A80" s="38">
        <v>10050522</v>
      </c>
      <c r="B80" s="38" t="s">
        <v>83</v>
      </c>
      <c r="C80" s="38" t="s">
        <v>4</v>
      </c>
    </row>
    <row r="81" spans="1:3" x14ac:dyDescent="0.25">
      <c r="A81" s="38">
        <v>10051269</v>
      </c>
      <c r="B81" s="38" t="s">
        <v>84</v>
      </c>
      <c r="C81" s="38" t="s">
        <v>4</v>
      </c>
    </row>
    <row r="82" spans="1:3" x14ac:dyDescent="0.25">
      <c r="A82" s="38">
        <v>10050041</v>
      </c>
      <c r="B82" s="38" t="s">
        <v>85</v>
      </c>
      <c r="C82" s="38" t="s">
        <v>4</v>
      </c>
    </row>
    <row r="83" spans="1:3" x14ac:dyDescent="0.25">
      <c r="A83" s="38">
        <v>20000070</v>
      </c>
      <c r="B83" s="38" t="s">
        <v>86</v>
      </c>
      <c r="C83" s="38" t="s">
        <v>4</v>
      </c>
    </row>
    <row r="84" spans="1:3" x14ac:dyDescent="0.25">
      <c r="A84" s="38">
        <v>10051027</v>
      </c>
      <c r="B84" s="38" t="s">
        <v>87</v>
      </c>
      <c r="C84" s="38" t="s">
        <v>4</v>
      </c>
    </row>
    <row r="85" spans="1:3" x14ac:dyDescent="0.25">
      <c r="A85" s="38">
        <v>20014981</v>
      </c>
      <c r="B85" s="38" t="s">
        <v>88</v>
      </c>
      <c r="C85" s="38" t="s">
        <v>4</v>
      </c>
    </row>
    <row r="86" spans="1:3" x14ac:dyDescent="0.25">
      <c r="A86" s="38">
        <v>20014951</v>
      </c>
      <c r="B86" s="38" t="s">
        <v>89</v>
      </c>
      <c r="C86" s="38" t="s">
        <v>4</v>
      </c>
    </row>
    <row r="87" spans="1:3" x14ac:dyDescent="0.25">
      <c r="A87" s="38">
        <v>20021813</v>
      </c>
      <c r="B87" s="38" t="s">
        <v>90</v>
      </c>
      <c r="C87" s="38" t="s">
        <v>4</v>
      </c>
    </row>
    <row r="88" spans="1:3" x14ac:dyDescent="0.25">
      <c r="A88" s="38">
        <v>10050450</v>
      </c>
      <c r="B88" s="38" t="s">
        <v>91</v>
      </c>
      <c r="C88" s="38" t="s">
        <v>4</v>
      </c>
    </row>
    <row r="89" spans="1:3" x14ac:dyDescent="0.25">
      <c r="A89" s="38">
        <v>10050012</v>
      </c>
      <c r="B89" s="38" t="s">
        <v>92</v>
      </c>
      <c r="C89" s="38" t="s">
        <v>4</v>
      </c>
    </row>
    <row r="90" spans="1:3" x14ac:dyDescent="0.25">
      <c r="A90" s="38">
        <v>20005033</v>
      </c>
      <c r="B90" s="38" t="s">
        <v>93</v>
      </c>
      <c r="C90" s="38" t="s">
        <v>4</v>
      </c>
    </row>
    <row r="91" spans="1:3" x14ac:dyDescent="0.25">
      <c r="A91" s="38">
        <v>20020167</v>
      </c>
      <c r="B91" s="38" t="s">
        <v>94</v>
      </c>
      <c r="C91" s="38" t="s">
        <v>4</v>
      </c>
    </row>
    <row r="92" spans="1:3" x14ac:dyDescent="0.25">
      <c r="A92" s="38">
        <v>10050145</v>
      </c>
      <c r="B92" s="38" t="s">
        <v>95</v>
      </c>
      <c r="C92" s="38" t="s">
        <v>4</v>
      </c>
    </row>
    <row r="93" spans="1:3" x14ac:dyDescent="0.25">
      <c r="A93" s="38">
        <v>10052416</v>
      </c>
      <c r="B93" s="38" t="s">
        <v>96</v>
      </c>
      <c r="C93" s="38" t="s">
        <v>4</v>
      </c>
    </row>
    <row r="94" spans="1:3" x14ac:dyDescent="0.25">
      <c r="A94" s="38">
        <v>10051083</v>
      </c>
      <c r="B94" s="38" t="s">
        <v>97</v>
      </c>
      <c r="C94" s="38" t="s">
        <v>4</v>
      </c>
    </row>
    <row r="95" spans="1:3" x14ac:dyDescent="0.25">
      <c r="A95" s="38">
        <v>10050898</v>
      </c>
      <c r="B95" s="38" t="s">
        <v>98</v>
      </c>
      <c r="C95" s="38" t="s">
        <v>4</v>
      </c>
    </row>
    <row r="96" spans="1:3" x14ac:dyDescent="0.25">
      <c r="A96" s="38">
        <v>10050480</v>
      </c>
      <c r="B96" s="38" t="s">
        <v>99</v>
      </c>
      <c r="C96" s="38" t="s">
        <v>4</v>
      </c>
    </row>
    <row r="97" spans="1:3" x14ac:dyDescent="0.25">
      <c r="A97" s="38">
        <v>10050075</v>
      </c>
      <c r="B97" s="38" t="s">
        <v>100</v>
      </c>
      <c r="C97" s="38" t="s">
        <v>4</v>
      </c>
    </row>
    <row r="98" spans="1:3" x14ac:dyDescent="0.25">
      <c r="A98" s="38">
        <v>20000167</v>
      </c>
      <c r="B98" s="38" t="s">
        <v>101</v>
      </c>
      <c r="C98" s="38" t="s">
        <v>4</v>
      </c>
    </row>
    <row r="99" spans="1:3" x14ac:dyDescent="0.25">
      <c r="A99" s="38">
        <v>10050517</v>
      </c>
      <c r="B99" s="38" t="s">
        <v>102</v>
      </c>
      <c r="C99" s="38" t="s">
        <v>4</v>
      </c>
    </row>
    <row r="100" spans="1:3" x14ac:dyDescent="0.25">
      <c r="A100" s="38">
        <v>10060098</v>
      </c>
      <c r="B100" s="38" t="s">
        <v>103</v>
      </c>
      <c r="C100" s="38" t="s">
        <v>4</v>
      </c>
    </row>
    <row r="101" spans="1:3" x14ac:dyDescent="0.25">
      <c r="A101" s="38">
        <v>20021952</v>
      </c>
      <c r="B101" s="38" t="s">
        <v>104</v>
      </c>
      <c r="C101" s="38" t="s">
        <v>4</v>
      </c>
    </row>
    <row r="102" spans="1:3" x14ac:dyDescent="0.25">
      <c r="A102" s="38">
        <v>10050438</v>
      </c>
      <c r="B102" s="38" t="s">
        <v>105</v>
      </c>
      <c r="C102" s="38" t="s">
        <v>4</v>
      </c>
    </row>
    <row r="103" spans="1:3" x14ac:dyDescent="0.25">
      <c r="A103" s="38">
        <v>20020055</v>
      </c>
      <c r="B103" s="38" t="s">
        <v>106</v>
      </c>
      <c r="C103" s="38" t="s">
        <v>4</v>
      </c>
    </row>
    <row r="104" spans="1:3" x14ac:dyDescent="0.25">
      <c r="A104" s="38">
        <v>20000025</v>
      </c>
      <c r="B104" s="38" t="s">
        <v>107</v>
      </c>
      <c r="C104" s="38" t="s">
        <v>4</v>
      </c>
    </row>
    <row r="105" spans="1:3" x14ac:dyDescent="0.25">
      <c r="A105" s="38">
        <v>10050146</v>
      </c>
      <c r="B105" s="38" t="s">
        <v>108</v>
      </c>
      <c r="C105" s="38" t="s">
        <v>4</v>
      </c>
    </row>
    <row r="106" spans="1:3" x14ac:dyDescent="0.25">
      <c r="A106" s="38">
        <v>10052378</v>
      </c>
      <c r="B106" s="38" t="s">
        <v>109</v>
      </c>
      <c r="C106" s="38" t="s">
        <v>4</v>
      </c>
    </row>
    <row r="107" spans="1:3" x14ac:dyDescent="0.25">
      <c r="A107" s="38">
        <v>10050133</v>
      </c>
      <c r="B107" s="38" t="s">
        <v>110</v>
      </c>
      <c r="C107" s="38" t="s">
        <v>4</v>
      </c>
    </row>
    <row r="108" spans="1:3" x14ac:dyDescent="0.25">
      <c r="A108" s="38">
        <v>20004761</v>
      </c>
      <c r="B108" s="38" t="s">
        <v>111</v>
      </c>
      <c r="C108" s="38" t="s">
        <v>4</v>
      </c>
    </row>
    <row r="109" spans="1:3" x14ac:dyDescent="0.25">
      <c r="A109" s="38">
        <v>20004720</v>
      </c>
      <c r="B109" s="38" t="s">
        <v>112</v>
      </c>
      <c r="C109" s="38" t="s">
        <v>4</v>
      </c>
    </row>
    <row r="110" spans="1:3" x14ac:dyDescent="0.25">
      <c r="A110" s="38">
        <v>20012020</v>
      </c>
      <c r="B110" s="38" t="s">
        <v>113</v>
      </c>
      <c r="C110" s="38" t="s">
        <v>4</v>
      </c>
    </row>
    <row r="111" spans="1:3" x14ac:dyDescent="0.25">
      <c r="A111" s="38">
        <v>20004820</v>
      </c>
      <c r="B111" s="38" t="s">
        <v>114</v>
      </c>
      <c r="C111" s="38" t="s">
        <v>4</v>
      </c>
    </row>
    <row r="112" spans="1:3" x14ac:dyDescent="0.25">
      <c r="A112" s="38">
        <v>10050223</v>
      </c>
      <c r="B112" s="38" t="s">
        <v>115</v>
      </c>
      <c r="C112" s="38" t="s">
        <v>4</v>
      </c>
    </row>
    <row r="113" spans="1:3" x14ac:dyDescent="0.25">
      <c r="A113" s="38">
        <v>10050428</v>
      </c>
      <c r="B113" s="38" t="s">
        <v>116</v>
      </c>
      <c r="C113" s="38" t="s">
        <v>4</v>
      </c>
    </row>
    <row r="114" spans="1:3" x14ac:dyDescent="0.25">
      <c r="A114" s="38">
        <v>10050085</v>
      </c>
      <c r="B114" s="38" t="s">
        <v>117</v>
      </c>
      <c r="C114" s="38" t="s">
        <v>4</v>
      </c>
    </row>
    <row r="115" spans="1:3" x14ac:dyDescent="0.25">
      <c r="A115" s="38">
        <v>20021763</v>
      </c>
      <c r="B115" s="38" t="s">
        <v>118</v>
      </c>
      <c r="C115" s="38" t="s">
        <v>4</v>
      </c>
    </row>
    <row r="116" spans="1:3" x14ac:dyDescent="0.25">
      <c r="A116" s="38">
        <v>10050087</v>
      </c>
      <c r="B116" s="38" t="s">
        <v>119</v>
      </c>
      <c r="C116" s="38" t="s">
        <v>4</v>
      </c>
    </row>
    <row r="117" spans="1:3" x14ac:dyDescent="0.25">
      <c r="A117" s="38">
        <v>20021695</v>
      </c>
      <c r="B117" s="38" t="s">
        <v>120</v>
      </c>
      <c r="C117" s="38" t="s">
        <v>4</v>
      </c>
    </row>
    <row r="118" spans="1:3" x14ac:dyDescent="0.25">
      <c r="A118" s="38">
        <v>20021165</v>
      </c>
      <c r="B118" s="38" t="s">
        <v>121</v>
      </c>
      <c r="C118" s="38" t="s">
        <v>4</v>
      </c>
    </row>
    <row r="119" spans="1:3" x14ac:dyDescent="0.25">
      <c r="A119" s="38">
        <v>20012938</v>
      </c>
      <c r="B119" s="38" t="s">
        <v>122</v>
      </c>
      <c r="C119" s="38" t="s">
        <v>4</v>
      </c>
    </row>
    <row r="120" spans="1:3" x14ac:dyDescent="0.25">
      <c r="A120" s="38">
        <v>20013388</v>
      </c>
      <c r="B120" s="38" t="s">
        <v>123</v>
      </c>
      <c r="C120" s="38" t="s">
        <v>4</v>
      </c>
    </row>
    <row r="121" spans="1:3" x14ac:dyDescent="0.25">
      <c r="A121" s="38">
        <v>20012760</v>
      </c>
      <c r="B121" s="38" t="s">
        <v>124</v>
      </c>
      <c r="C121" s="38" t="s">
        <v>4</v>
      </c>
    </row>
    <row r="122" spans="1:3" x14ac:dyDescent="0.25">
      <c r="A122" s="38">
        <v>20021088</v>
      </c>
      <c r="B122" s="38" t="s">
        <v>125</v>
      </c>
      <c r="C122" s="38" t="s">
        <v>4</v>
      </c>
    </row>
    <row r="123" spans="1:3" x14ac:dyDescent="0.25">
      <c r="A123" s="38">
        <v>20022322</v>
      </c>
      <c r="B123" s="38" t="s">
        <v>126</v>
      </c>
      <c r="C123" s="38" t="s">
        <v>4</v>
      </c>
    </row>
    <row r="124" spans="1:3" x14ac:dyDescent="0.25">
      <c r="A124" s="38">
        <v>10050465</v>
      </c>
      <c r="B124" s="38" t="s">
        <v>127</v>
      </c>
      <c r="C124" s="38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topLeftCell="D1" workbookViewId="0">
      <selection activeCell="F22" sqref="F22"/>
    </sheetView>
  </sheetViews>
  <sheetFormatPr defaultRowHeight="12.5" x14ac:dyDescent="0.25"/>
  <cols>
    <col min="1" max="2" width="9.453125" hidden="1" customWidth="1"/>
    <col min="3" max="3" width="10.54296875" hidden="1" customWidth="1"/>
    <col min="4" max="4" width="28.1796875" bestFit="1" customWidth="1"/>
    <col min="5" max="7" width="9.1796875" style="9"/>
  </cols>
  <sheetData>
    <row r="1" spans="1:7" x14ac:dyDescent="0.25">
      <c r="A1" s="19"/>
      <c r="B1" s="19"/>
      <c r="C1" s="19"/>
      <c r="D1" s="19"/>
      <c r="E1" s="39" t="s">
        <v>128</v>
      </c>
      <c r="F1" s="39" t="s">
        <v>129</v>
      </c>
      <c r="G1" s="39" t="s">
        <v>130</v>
      </c>
    </row>
    <row r="2" spans="1:7" x14ac:dyDescent="0.25">
      <c r="A2" s="19" t="s">
        <v>131</v>
      </c>
      <c r="B2" s="19" t="s">
        <v>132</v>
      </c>
      <c r="C2" s="19" t="s">
        <v>133</v>
      </c>
      <c r="D2" s="40" t="s">
        <v>134</v>
      </c>
      <c r="E2" s="38">
        <f>COUNTIF(Table2[Graph 1],Graph!A:A)</f>
        <v>0</v>
      </c>
      <c r="F2" s="38">
        <f>COUNTIF(Table2[Graph 1],Graph!B:B)</f>
        <v>0</v>
      </c>
      <c r="G2" s="38">
        <f>COUNTIF(Table2[Graph 1],Graph!C:C)</f>
        <v>0</v>
      </c>
    </row>
    <row r="3" spans="1:7" x14ac:dyDescent="0.25">
      <c r="A3" s="19" t="s">
        <v>135</v>
      </c>
      <c r="B3" s="19" t="s">
        <v>136</v>
      </c>
      <c r="C3" s="19" t="s">
        <v>137</v>
      </c>
      <c r="D3" s="40" t="s">
        <v>138</v>
      </c>
      <c r="E3" s="38">
        <f>COUNTIF(Table2[Graph 1],Graph!A:A)</f>
        <v>0</v>
      </c>
      <c r="F3" s="38">
        <f>COUNTIF(Table2[Graph 1],Graph!B:B)</f>
        <v>0</v>
      </c>
      <c r="G3" s="38">
        <f>COUNTIF(Table2[Graph 1],Graph!C:C)</f>
        <v>0</v>
      </c>
    </row>
    <row r="4" spans="1:7" x14ac:dyDescent="0.25">
      <c r="A4" s="40" t="s">
        <v>139</v>
      </c>
      <c r="B4" s="40" t="s">
        <v>140</v>
      </c>
      <c r="C4" s="40" t="s">
        <v>141</v>
      </c>
      <c r="D4" s="40" t="s">
        <v>142</v>
      </c>
      <c r="E4" s="38">
        <f>COUNTIF(Table2[Graph 1],Graph!A:A)</f>
        <v>0</v>
      </c>
      <c r="F4" s="38">
        <f>COUNTIF(Table2[Graph 1],Graph!B:B)</f>
        <v>0</v>
      </c>
      <c r="G4" s="38">
        <f>COUNTIF(Table2[Graph 1],Graph!C:C)</f>
        <v>0</v>
      </c>
    </row>
    <row r="5" spans="1:7" x14ac:dyDescent="0.25">
      <c r="A5" s="40" t="s">
        <v>143</v>
      </c>
      <c r="B5" s="40" t="s">
        <v>144</v>
      </c>
      <c r="C5" s="40" t="s">
        <v>145</v>
      </c>
      <c r="D5" s="40" t="s">
        <v>146</v>
      </c>
      <c r="E5" s="38">
        <f>COUNTIF(Table2[Graph 1],Graph!A:A)</f>
        <v>1</v>
      </c>
      <c r="F5" s="38">
        <f>COUNTIF(Table2[Graph 1],Graph!B:B)</f>
        <v>0</v>
      </c>
      <c r="G5" s="38">
        <f>COUNTIF(Table2[Graph 1],Graph!C:C)</f>
        <v>0</v>
      </c>
    </row>
    <row r="6" spans="1:7" x14ac:dyDescent="0.25">
      <c r="A6" s="19" t="s">
        <v>147</v>
      </c>
      <c r="B6" s="19" t="s">
        <v>148</v>
      </c>
      <c r="C6" s="19" t="s">
        <v>149</v>
      </c>
      <c r="D6" s="40" t="s">
        <v>150</v>
      </c>
      <c r="E6" s="38">
        <f>COUNTIF(Table2[Graph 1],Graph!A:A)</f>
        <v>0</v>
      </c>
      <c r="F6" s="38">
        <f>COUNTIF(Table2[Graph 1],Graph!B:B)</f>
        <v>0</v>
      </c>
      <c r="G6" s="38">
        <f>COUNTIF(Table2[Graph 1],Graph!C:C)</f>
        <v>0</v>
      </c>
    </row>
    <row r="7" spans="1:7" x14ac:dyDescent="0.25">
      <c r="A7" s="19" t="s">
        <v>151</v>
      </c>
      <c r="B7" s="19" t="s">
        <v>152</v>
      </c>
      <c r="C7" s="19" t="s">
        <v>153</v>
      </c>
      <c r="D7" s="40" t="s">
        <v>154</v>
      </c>
      <c r="E7" s="38">
        <f>COUNTIF(Table2[Graph 1],Graph!A:A)</f>
        <v>0</v>
      </c>
      <c r="F7" s="38">
        <f>COUNTIF(Table2[Graph 1],Graph!B:B)</f>
        <v>0</v>
      </c>
      <c r="G7" s="38">
        <f>COUNTIF(Table2[Graph 1],Graph!C:C)</f>
        <v>0</v>
      </c>
    </row>
    <row r="8" spans="1:7" x14ac:dyDescent="0.25">
      <c r="A8" s="40" t="s">
        <v>155</v>
      </c>
      <c r="B8" s="40" t="s">
        <v>156</v>
      </c>
      <c r="C8" s="40" t="s">
        <v>157</v>
      </c>
      <c r="D8" s="40" t="s">
        <v>158</v>
      </c>
      <c r="E8" s="38">
        <f>COUNTIF(Table2[Graph 1],Graph!A:A)</f>
        <v>0</v>
      </c>
      <c r="F8" s="38">
        <f>COUNTIF(Table2[Graph 1],Graph!B:B)</f>
        <v>0</v>
      </c>
      <c r="G8" s="38">
        <f>COUNTIF(Table2[Graph 1],Graph!C:C)</f>
        <v>0</v>
      </c>
    </row>
    <row r="9" spans="1:7" x14ac:dyDescent="0.25">
      <c r="A9" s="40" t="s">
        <v>159</v>
      </c>
      <c r="B9" s="40" t="s">
        <v>160</v>
      </c>
      <c r="C9" s="40" t="s">
        <v>161</v>
      </c>
      <c r="D9" s="40" t="s">
        <v>162</v>
      </c>
      <c r="E9" s="38">
        <f>COUNTIF(Table2[Graph 1],Graph!A:A)</f>
        <v>0</v>
      </c>
      <c r="F9" s="38">
        <f>COUNTIF(Table2[Graph 1],Graph!B:B)</f>
        <v>0</v>
      </c>
      <c r="G9" s="38">
        <f>COUNTIF(Table2[Graph 1],Graph!C:C)</f>
        <v>0</v>
      </c>
    </row>
    <row r="10" spans="1:7" x14ac:dyDescent="0.25">
      <c r="A10" s="40" t="s">
        <v>163</v>
      </c>
      <c r="B10" s="40" t="s">
        <v>164</v>
      </c>
      <c r="C10" s="40" t="s">
        <v>165</v>
      </c>
      <c r="D10" s="40" t="s">
        <v>166</v>
      </c>
      <c r="E10" s="38">
        <f>COUNTIF(Table2[Graph 1],Graph!A:A)</f>
        <v>0</v>
      </c>
      <c r="F10" s="38">
        <f>COUNTIF(Table2[Graph 1],Graph!B:B)</f>
        <v>0</v>
      </c>
      <c r="G10" s="38">
        <f>COUNTIF(Table2[Graph 1],Graph!C:C)</f>
        <v>0</v>
      </c>
    </row>
    <row r="11" spans="1:7" x14ac:dyDescent="0.25">
      <c r="A11" s="40" t="s">
        <v>167</v>
      </c>
      <c r="B11" s="40" t="s">
        <v>168</v>
      </c>
      <c r="C11" s="40" t="s">
        <v>169</v>
      </c>
      <c r="D11" s="40" t="s">
        <v>170</v>
      </c>
      <c r="E11" s="38">
        <f>COUNTIF(Table2[Graph 1],Graph!A:A)</f>
        <v>0</v>
      </c>
      <c r="F11" s="38">
        <f>COUNTIF(Table2[Graph 1],Graph!B:B)</f>
        <v>0</v>
      </c>
      <c r="G11" s="38">
        <f>COUNTIF(Table2[Graph 1],Graph!C:C)</f>
        <v>0</v>
      </c>
    </row>
    <row r="12" spans="1:7" x14ac:dyDescent="0.25">
      <c r="A12" s="40" t="s">
        <v>171</v>
      </c>
      <c r="B12" s="40" t="s">
        <v>172</v>
      </c>
      <c r="C12" s="40" t="s">
        <v>173</v>
      </c>
      <c r="D12" s="40" t="s">
        <v>174</v>
      </c>
      <c r="E12" s="38">
        <f>COUNTIF(Table2[Graph 1],Graph!A:A)</f>
        <v>0</v>
      </c>
      <c r="F12" s="38">
        <f>COUNTIF(Table2[Graph 1],Graph!B:B)</f>
        <v>0</v>
      </c>
      <c r="G12" s="38">
        <f>COUNTIF(Table2[Graph 1],Graph!C:C)</f>
        <v>0</v>
      </c>
    </row>
    <row r="13" spans="1:7" x14ac:dyDescent="0.25">
      <c r="A13" s="40" t="s">
        <v>175</v>
      </c>
      <c r="B13" s="40" t="s">
        <v>176</v>
      </c>
      <c r="C13" s="40" t="s">
        <v>177</v>
      </c>
      <c r="D13" s="40" t="s">
        <v>178</v>
      </c>
      <c r="E13" s="38">
        <f>COUNTIF(Table2[Graph 1],Graph!A:A)</f>
        <v>0</v>
      </c>
      <c r="F13" s="38">
        <f>COUNTIF(Table2[Graph 1],Graph!B:B)</f>
        <v>0</v>
      </c>
      <c r="G13" s="38">
        <f>COUNTIF(Table2[Graph 1],Graph!C:C)</f>
        <v>0</v>
      </c>
    </row>
    <row r="16" spans="1:7" x14ac:dyDescent="0.25">
      <c r="D16" s="19"/>
      <c r="E16" s="39" t="s">
        <v>128</v>
      </c>
      <c r="F16" s="39" t="s">
        <v>129</v>
      </c>
      <c r="G16" s="39" t="s">
        <v>130</v>
      </c>
    </row>
    <row r="17" spans="4:7" x14ac:dyDescent="0.25">
      <c r="D17" s="19" t="s">
        <v>179</v>
      </c>
      <c r="E17" s="38"/>
      <c r="F17" s="38">
        <v>1</v>
      </c>
      <c r="G17" s="38"/>
    </row>
    <row r="18" spans="4:7" x14ac:dyDescent="0.25">
      <c r="D18" s="40" t="s">
        <v>180</v>
      </c>
      <c r="E18" s="38"/>
      <c r="F18" s="38"/>
      <c r="G18" s="38"/>
    </row>
    <row r="19" spans="4:7" x14ac:dyDescent="0.25">
      <c r="D19" s="40" t="s">
        <v>181</v>
      </c>
      <c r="E19" s="38"/>
      <c r="F19" s="38"/>
      <c r="G19" s="38"/>
    </row>
    <row r="20" spans="4:7" x14ac:dyDescent="0.25">
      <c r="D20" s="40" t="s">
        <v>182</v>
      </c>
      <c r="E20" s="38"/>
      <c r="F20" s="38"/>
      <c r="G20" s="38"/>
    </row>
    <row r="21" spans="4:7" x14ac:dyDescent="0.25">
      <c r="D21" s="40" t="s">
        <v>183</v>
      </c>
      <c r="E21" s="38"/>
      <c r="F21" s="38"/>
      <c r="G21" s="38"/>
    </row>
    <row r="22" spans="4:7" x14ac:dyDescent="0.25">
      <c r="D22" s="40" t="s">
        <v>184</v>
      </c>
      <c r="E22" s="38"/>
      <c r="F22" s="38"/>
      <c r="G22" s="38"/>
    </row>
    <row r="23" spans="4:7" x14ac:dyDescent="0.25">
      <c r="D23" s="40" t="s">
        <v>185</v>
      </c>
      <c r="E23" s="38"/>
      <c r="F23" s="38"/>
      <c r="G23" s="38"/>
    </row>
    <row r="24" spans="4:7" x14ac:dyDescent="0.25">
      <c r="D24" s="40" t="s">
        <v>186</v>
      </c>
      <c r="E24" s="38"/>
      <c r="F24" s="38"/>
      <c r="G24" s="38"/>
    </row>
    <row r="25" spans="4:7" x14ac:dyDescent="0.25">
      <c r="D25" s="40" t="s">
        <v>187</v>
      </c>
      <c r="E25" s="38"/>
      <c r="F25" s="38"/>
      <c r="G25" s="38"/>
    </row>
    <row r="26" spans="4:7" x14ac:dyDescent="0.25">
      <c r="D26" s="40" t="s">
        <v>188</v>
      </c>
      <c r="E26" s="38"/>
      <c r="F26" s="38"/>
      <c r="G26" s="38"/>
    </row>
    <row r="27" spans="4:7" x14ac:dyDescent="0.25">
      <c r="D27" s="40" t="s">
        <v>189</v>
      </c>
      <c r="E27" s="38"/>
      <c r="F27" s="38"/>
      <c r="G27" s="38"/>
    </row>
    <row r="28" spans="4:7" x14ac:dyDescent="0.25">
      <c r="D28" s="40" t="s">
        <v>190</v>
      </c>
      <c r="E28" s="38"/>
      <c r="F28" s="38"/>
      <c r="G28" s="38"/>
    </row>
    <row r="29" spans="4:7" x14ac:dyDescent="0.25">
      <c r="D29" s="40" t="s">
        <v>191</v>
      </c>
      <c r="E29" s="38"/>
      <c r="F29" s="38"/>
      <c r="G29" s="38"/>
    </row>
    <row r="30" spans="4:7" x14ac:dyDescent="0.25">
      <c r="D30" s="40" t="s">
        <v>192</v>
      </c>
      <c r="E30" s="38"/>
      <c r="F30" s="38"/>
      <c r="G30" s="38"/>
    </row>
    <row r="31" spans="4:7" x14ac:dyDescent="0.25">
      <c r="D31" s="40" t="s">
        <v>193</v>
      </c>
      <c r="E31" s="38"/>
      <c r="F31" s="38"/>
      <c r="G31" s="38"/>
    </row>
    <row r="32" spans="4:7" x14ac:dyDescent="0.25">
      <c r="D32" s="40" t="s">
        <v>194</v>
      </c>
      <c r="E32" s="38"/>
      <c r="F32" s="38"/>
      <c r="G32" s="38"/>
    </row>
    <row r="33" spans="4:7" x14ac:dyDescent="0.25">
      <c r="D33" s="40" t="s">
        <v>195</v>
      </c>
      <c r="E33" s="38"/>
      <c r="F33" s="38"/>
      <c r="G33" s="38"/>
    </row>
    <row r="34" spans="4:7" x14ac:dyDescent="0.25">
      <c r="D34" s="40" t="s">
        <v>196</v>
      </c>
      <c r="E34" s="38"/>
      <c r="F34" s="38"/>
      <c r="G34" s="38"/>
    </row>
    <row r="35" spans="4:7" x14ac:dyDescent="0.25">
      <c r="D35" s="40" t="s">
        <v>197</v>
      </c>
      <c r="E35" s="38"/>
      <c r="F35" s="38"/>
      <c r="G35" s="38"/>
    </row>
    <row r="36" spans="4:7" x14ac:dyDescent="0.25">
      <c r="D36" s="40" t="s">
        <v>198</v>
      </c>
      <c r="E36" s="38"/>
      <c r="F36" s="38"/>
      <c r="G36" s="38"/>
    </row>
    <row r="37" spans="4:7" x14ac:dyDescent="0.25">
      <c r="D37" s="40" t="s">
        <v>199</v>
      </c>
      <c r="E37" s="38"/>
      <c r="F37" s="38"/>
      <c r="G37" s="38"/>
    </row>
    <row r="38" spans="4:7" x14ac:dyDescent="0.25">
      <c r="D38" s="40" t="s">
        <v>200</v>
      </c>
      <c r="E38" s="38"/>
      <c r="F38" s="38"/>
      <c r="G38" s="38"/>
    </row>
    <row r="39" spans="4:7" x14ac:dyDescent="0.25">
      <c r="D39" s="19"/>
      <c r="E39" s="38"/>
      <c r="F39" s="38"/>
      <c r="G39" s="38"/>
    </row>
    <row r="40" spans="4:7" x14ac:dyDescent="0.25">
      <c r="D40" s="19"/>
      <c r="E40" s="38"/>
      <c r="F40" s="38"/>
      <c r="G40" s="38"/>
    </row>
    <row r="41" spans="4:7" x14ac:dyDescent="0.25">
      <c r="D41" s="19"/>
      <c r="E41" s="38"/>
      <c r="F41" s="38"/>
      <c r="G41" s="38"/>
    </row>
    <row r="42" spans="4:7" x14ac:dyDescent="0.25">
      <c r="D42" s="19"/>
      <c r="E42" s="38"/>
      <c r="F42" s="38"/>
      <c r="G42" s="38"/>
    </row>
    <row r="43" spans="4:7" x14ac:dyDescent="0.25">
      <c r="D43" s="40"/>
      <c r="E43" s="38"/>
      <c r="F43" s="38"/>
      <c r="G43" s="38"/>
    </row>
    <row r="44" spans="4:7" x14ac:dyDescent="0.25">
      <c r="D44" s="19"/>
      <c r="E44" s="38"/>
      <c r="F44" s="38"/>
      <c r="G44" s="38"/>
    </row>
    <row r="45" spans="4:7" x14ac:dyDescent="0.25">
      <c r="D45" s="19"/>
      <c r="E45" s="38"/>
      <c r="F45" s="38"/>
      <c r="G45" s="38"/>
    </row>
    <row r="46" spans="4:7" x14ac:dyDescent="0.25">
      <c r="D46" s="19"/>
      <c r="E46" s="38"/>
      <c r="F46" s="38"/>
      <c r="G46" s="38"/>
    </row>
    <row r="47" spans="4:7" x14ac:dyDescent="0.25">
      <c r="D47" s="19"/>
      <c r="E47" s="38"/>
      <c r="F47" s="38"/>
      <c r="G47" s="38"/>
    </row>
    <row r="48" spans="4:7" x14ac:dyDescent="0.25">
      <c r="D48" s="19"/>
      <c r="E48" s="38"/>
      <c r="F48" s="38"/>
      <c r="G48" s="38"/>
    </row>
  </sheetData>
  <sortState xmlns:xlrd2="http://schemas.microsoft.com/office/spreadsheetml/2017/richdata2" ref="D29:H87">
    <sortCondition ref="D29:D87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Q16"/>
  <sheetViews>
    <sheetView tabSelected="1" zoomScale="70" zoomScaleNormal="70" workbookViewId="0">
      <pane ySplit="3" topLeftCell="A4" activePane="bottomLeft" state="frozen"/>
      <selection activeCell="B1" sqref="B1"/>
      <selection pane="bottomLeft" activeCell="E11" sqref="E11"/>
    </sheetView>
  </sheetViews>
  <sheetFormatPr defaultColWidth="11.453125" defaultRowHeight="12.5" x14ac:dyDescent="0.25"/>
  <cols>
    <col min="1" max="1" width="10.453125" style="9" bestFit="1" customWidth="1"/>
    <col min="2" max="2" width="10.453125" style="9" customWidth="1"/>
    <col min="3" max="3" width="15.1796875" style="2" bestFit="1" customWidth="1"/>
    <col min="4" max="4" width="11.54296875" style="3" bestFit="1" customWidth="1"/>
    <col min="5" max="5" width="26.54296875" style="3" bestFit="1" customWidth="1"/>
    <col min="6" max="6" width="11.1796875" style="3" bestFit="1" customWidth="1"/>
    <col min="7" max="7" width="32.54296875" style="10" bestFit="1" customWidth="1"/>
    <col min="8" max="8" width="18.1796875" style="3" bestFit="1" customWidth="1"/>
    <col min="9" max="9" width="11.453125" style="3" bestFit="1" customWidth="1"/>
    <col min="10" max="10" width="50.7265625" style="10" customWidth="1"/>
    <col min="11" max="11" width="42" style="10" customWidth="1"/>
    <col min="12" max="12" width="15.453125" style="3" bestFit="1" customWidth="1"/>
    <col min="13" max="13" width="14.54296875" style="4" bestFit="1" customWidth="1"/>
    <col min="14" max="14" width="12.7265625" style="11" hidden="1" customWidth="1"/>
    <col min="15" max="15" width="11.453125" style="5" customWidth="1"/>
    <col min="16" max="16" width="20.1796875" style="5" customWidth="1"/>
    <col min="17" max="17" width="17" style="5" customWidth="1"/>
    <col min="18" max="16384" width="11.453125" style="9"/>
  </cols>
  <sheetData>
    <row r="1" spans="1:17" s="7" customFormat="1" ht="20.149999999999999" customHeight="1" x14ac:dyDescent="0.25">
      <c r="D1" s="55" t="s">
        <v>201</v>
      </c>
      <c r="E1" s="55"/>
      <c r="F1" s="55"/>
      <c r="G1" s="55"/>
      <c r="H1" s="55"/>
      <c r="I1" s="55"/>
      <c r="J1" s="55"/>
      <c r="K1" s="51"/>
      <c r="L1" s="54" t="s">
        <v>202</v>
      </c>
      <c r="M1" s="54"/>
      <c r="N1" s="1"/>
      <c r="O1" s="1"/>
    </row>
    <row r="2" spans="1:17" s="7" customFormat="1" ht="20.149999999999999" customHeight="1" x14ac:dyDescent="0.25">
      <c r="C2" s="52"/>
      <c r="D2" s="53"/>
      <c r="E2" s="51"/>
      <c r="L2" s="17"/>
      <c r="M2" s="50"/>
      <c r="N2" s="8"/>
      <c r="O2" s="1"/>
      <c r="P2" s="1"/>
    </row>
    <row r="3" spans="1:17" ht="20.149999999999999" customHeight="1" x14ac:dyDescent="0.25">
      <c r="A3" s="33" t="s">
        <v>203</v>
      </c>
      <c r="B3" s="33" t="s">
        <v>204</v>
      </c>
      <c r="C3" s="21" t="s">
        <v>205</v>
      </c>
      <c r="D3" s="22" t="s">
        <v>206</v>
      </c>
      <c r="E3" s="23" t="s">
        <v>207</v>
      </c>
      <c r="F3" s="22" t="s">
        <v>0</v>
      </c>
      <c r="G3" s="23" t="s">
        <v>1</v>
      </c>
      <c r="H3" s="22" t="s">
        <v>208</v>
      </c>
      <c r="I3" s="22" t="s">
        <v>209</v>
      </c>
      <c r="J3" s="23" t="s">
        <v>210</v>
      </c>
      <c r="K3" s="23" t="s">
        <v>211</v>
      </c>
      <c r="L3" s="23" t="s">
        <v>212</v>
      </c>
      <c r="M3" s="24" t="s">
        <v>213</v>
      </c>
      <c r="N3" s="21" t="s">
        <v>214</v>
      </c>
      <c r="O3" s="12"/>
      <c r="P3" s="6"/>
      <c r="Q3" s="9"/>
    </row>
    <row r="4" spans="1:17" ht="37.5" x14ac:dyDescent="0.25">
      <c r="A4" s="34"/>
      <c r="B4" s="34" t="s">
        <v>215</v>
      </c>
      <c r="C4" s="18">
        <v>46142</v>
      </c>
      <c r="D4" s="14" t="s">
        <v>146</v>
      </c>
      <c r="E4" s="15" t="s">
        <v>216</v>
      </c>
      <c r="F4" s="13">
        <v>10042</v>
      </c>
      <c r="G4" s="28" t="s">
        <v>3</v>
      </c>
      <c r="H4" s="15" t="s">
        <v>179</v>
      </c>
      <c r="I4" s="15" t="s">
        <v>128</v>
      </c>
      <c r="J4" s="36" t="s">
        <v>217</v>
      </c>
      <c r="K4" s="36" t="s">
        <v>218</v>
      </c>
      <c r="L4" s="15" t="s">
        <v>219</v>
      </c>
      <c r="M4" s="31">
        <v>46142</v>
      </c>
      <c r="N4" s="44" t="str">
        <f>Table2[[#This Row],[Period]]&amp;Table2[[#This Row],[Rating]]</f>
        <v>P 04Minor</v>
      </c>
      <c r="P4" s="16"/>
      <c r="Q4" s="9"/>
    </row>
    <row r="5" spans="1:17" ht="14.5" x14ac:dyDescent="0.25">
      <c r="A5" s="34"/>
      <c r="B5" s="34"/>
      <c r="C5" s="18"/>
      <c r="D5" s="14"/>
      <c r="E5" s="15"/>
      <c r="F5" s="13"/>
      <c r="G5" s="28"/>
      <c r="H5" s="15"/>
      <c r="I5" s="15"/>
      <c r="J5" s="36"/>
      <c r="K5" s="36"/>
      <c r="L5" s="15"/>
      <c r="M5" s="31"/>
      <c r="N5" s="44" t="str">
        <f>Table2[[#This Row],[Period]]&amp;Table2[[#This Row],[Rating]]</f>
        <v/>
      </c>
      <c r="P5" s="16"/>
      <c r="Q5" s="9"/>
    </row>
    <row r="6" spans="1:17" ht="14.5" x14ac:dyDescent="0.25">
      <c r="A6" s="34"/>
      <c r="B6" s="34"/>
      <c r="C6" s="18"/>
      <c r="D6" s="14"/>
      <c r="E6" s="15"/>
      <c r="F6" s="14"/>
      <c r="G6" s="28"/>
      <c r="H6" s="15"/>
      <c r="I6" s="15"/>
      <c r="J6" s="36"/>
      <c r="K6" s="36"/>
      <c r="L6" s="15"/>
      <c r="M6" s="31"/>
      <c r="N6" s="44" t="str">
        <f>Table2[[#This Row],[Period]]&amp;Table2[[#This Row],[Rating]]</f>
        <v/>
      </c>
    </row>
    <row r="7" spans="1:17" x14ac:dyDescent="0.25">
      <c r="A7" s="35"/>
      <c r="B7" s="35"/>
      <c r="C7" s="25"/>
      <c r="D7" s="26"/>
      <c r="E7" s="27"/>
      <c r="F7" s="26"/>
      <c r="G7" s="38"/>
      <c r="H7" s="15"/>
      <c r="I7" s="27"/>
      <c r="J7" s="37"/>
      <c r="K7" s="37"/>
      <c r="L7" s="15"/>
      <c r="M7" s="32"/>
      <c r="N7" s="44" t="str">
        <f>Table2[[#This Row],[Period]]&amp;Table2[[#This Row],[Rating]]</f>
        <v/>
      </c>
    </row>
    <row r="8" spans="1:17" ht="14.5" x14ac:dyDescent="0.25">
      <c r="A8" s="41"/>
      <c r="B8" s="35"/>
      <c r="C8" s="25"/>
      <c r="D8" s="26"/>
      <c r="E8" s="27"/>
      <c r="F8" s="26"/>
      <c r="G8" s="29"/>
      <c r="H8" s="15"/>
      <c r="I8" s="42"/>
      <c r="J8" s="43"/>
      <c r="K8" s="37"/>
      <c r="L8" s="27"/>
      <c r="M8" s="32"/>
      <c r="N8" s="44" t="str">
        <f>Table2[[#This Row],[Period]]&amp;Table2[[#This Row],[Rating]]</f>
        <v/>
      </c>
    </row>
    <row r="9" spans="1:17" ht="14.5" x14ac:dyDescent="0.25">
      <c r="A9" s="41"/>
      <c r="B9" s="35"/>
      <c r="C9" s="25"/>
      <c r="D9" s="14"/>
      <c r="E9" s="13"/>
      <c r="F9" s="14"/>
      <c r="G9" s="29"/>
      <c r="H9" s="28"/>
      <c r="I9" s="13"/>
      <c r="J9" s="45"/>
      <c r="K9" s="45"/>
      <c r="L9" s="13"/>
      <c r="M9" s="31"/>
      <c r="N9" s="46" t="str">
        <f>Table2[[#This Row],[Period]]&amp;Table2[[#This Row],[Rating]]</f>
        <v/>
      </c>
    </row>
    <row r="10" spans="1:17" ht="14.5" x14ac:dyDescent="0.25">
      <c r="A10" s="41"/>
      <c r="B10" s="35"/>
      <c r="C10" s="18"/>
      <c r="D10" s="14"/>
      <c r="E10" s="13"/>
      <c r="F10" s="14"/>
      <c r="G10" s="29"/>
      <c r="H10" s="28"/>
      <c r="I10" s="13"/>
      <c r="J10" s="45"/>
      <c r="K10" s="45"/>
      <c r="L10" s="13"/>
      <c r="M10" s="31"/>
      <c r="N10" s="46" t="str">
        <f>Table2[[#This Row],[Period]]&amp;Table2[[#This Row],[Rating]]</f>
        <v/>
      </c>
    </row>
    <row r="11" spans="1:17" ht="14.5" x14ac:dyDescent="0.25">
      <c r="A11" s="41"/>
      <c r="B11" s="47"/>
      <c r="C11" s="18"/>
      <c r="D11" s="14"/>
      <c r="E11" s="13"/>
      <c r="F11" s="14"/>
      <c r="G11" s="28"/>
      <c r="H11" s="28"/>
      <c r="I11" s="15"/>
      <c r="J11" s="45"/>
      <c r="K11" s="45"/>
      <c r="L11" s="13"/>
      <c r="M11" s="31"/>
      <c r="N11" s="46" t="str">
        <f>Table2[[#This Row],[Period]]&amp;Table2[[#This Row],[Rating]]</f>
        <v/>
      </c>
    </row>
    <row r="12" spans="1:17" ht="14.5" x14ac:dyDescent="0.25">
      <c r="A12" s="41"/>
      <c r="B12" s="48"/>
      <c r="C12" s="18"/>
      <c r="D12" s="14"/>
      <c r="E12" s="13"/>
      <c r="F12" s="14"/>
      <c r="G12" s="28"/>
      <c r="H12" s="28"/>
      <c r="I12" s="15"/>
      <c r="J12" s="36"/>
      <c r="K12" s="36"/>
      <c r="L12" s="13"/>
      <c r="M12" s="31"/>
      <c r="N12" s="46" t="str">
        <f>Table2[[#This Row],[Period]]&amp;Table2[[#This Row],[Rating]]</f>
        <v/>
      </c>
    </row>
    <row r="13" spans="1:17" ht="14.5" x14ac:dyDescent="0.25">
      <c r="A13" s="35"/>
      <c r="B13" s="48"/>
      <c r="C13" s="18"/>
      <c r="D13" s="14"/>
      <c r="E13" s="13"/>
      <c r="F13" s="14"/>
      <c r="G13" s="28"/>
      <c r="H13" s="28"/>
      <c r="I13" s="15"/>
      <c r="J13" s="36"/>
      <c r="K13" s="36"/>
      <c r="L13" s="13"/>
      <c r="M13" s="31"/>
      <c r="N13" s="46" t="str">
        <f>Table2[[#This Row],[Period]]&amp;Table2[[#This Row],[Rating]]</f>
        <v/>
      </c>
    </row>
    <row r="14" spans="1:17" ht="14.5" x14ac:dyDescent="0.25">
      <c r="A14" s="41"/>
      <c r="B14" s="35"/>
      <c r="C14" s="18"/>
      <c r="D14" s="14"/>
      <c r="E14" s="15"/>
      <c r="F14" s="14"/>
      <c r="G14" s="28"/>
      <c r="H14" s="28"/>
      <c r="I14" s="13"/>
      <c r="J14" s="36"/>
      <c r="K14" s="36"/>
      <c r="L14" s="15"/>
      <c r="M14" s="31"/>
      <c r="N14" s="49" t="str">
        <f>Table2[[#This Row],[Period]]&amp;Table2[[#This Row],[Rating]]</f>
        <v/>
      </c>
    </row>
    <row r="15" spans="1:17" ht="14.5" x14ac:dyDescent="0.25">
      <c r="A15" s="41"/>
      <c r="B15" s="48"/>
      <c r="C15" s="18"/>
      <c r="D15" s="14"/>
      <c r="E15" s="15"/>
      <c r="F15" s="14"/>
      <c r="G15" s="28" t="str">
        <f>IF(Table2[[#This Row],[Item '#]]="","",VLOOKUP(F15,'Raw Material List'!A:B,2,FALSE))</f>
        <v/>
      </c>
      <c r="H15" s="28"/>
      <c r="I15" s="13"/>
      <c r="J15" s="45"/>
      <c r="K15" s="36"/>
      <c r="L15" s="15"/>
      <c r="M15" s="31"/>
      <c r="N15" s="49" t="str">
        <f>Table2[[#This Row],[Period]]&amp;Table2[[#This Row],[Rating]]</f>
        <v/>
      </c>
    </row>
    <row r="16" spans="1:17" ht="14.5" x14ac:dyDescent="0.25">
      <c r="A16" s="41"/>
      <c r="B16" s="48"/>
      <c r="C16" s="18"/>
      <c r="D16" s="14"/>
      <c r="E16" s="15"/>
      <c r="F16" s="14"/>
      <c r="G16" s="28" t="str">
        <f>IF(Table2[[#This Row],[Item '#]]="","",VLOOKUP(F16,'Raw Material List'!A:B,2,FALSE))</f>
        <v/>
      </c>
      <c r="H16" s="28"/>
      <c r="I16" s="13"/>
      <c r="J16" s="45"/>
      <c r="K16" s="36"/>
      <c r="L16" s="15"/>
      <c r="M16" s="31"/>
      <c r="N16" s="49" t="str">
        <f>Table2[[#This Row],[Period]]&amp;Table2[[#This Row],[Rating]]</f>
        <v/>
      </c>
    </row>
  </sheetData>
  <dataConsolidate/>
  <mergeCells count="3">
    <mergeCell ref="C2:D2"/>
    <mergeCell ref="L1:M1"/>
    <mergeCell ref="D1:J1"/>
  </mergeCells>
  <phoneticPr fontId="0" type="noConversion"/>
  <conditionalFormatting sqref="G4:G16">
    <cfRule type="expression" dxfId="0" priority="7" stopIfTrue="1">
      <formula>$AL4&gt;0</formula>
    </cfRule>
  </conditionalFormatting>
  <dataValidations count="4">
    <dataValidation type="list" allowBlank="1" showInputMessage="1" showErrorMessage="1" sqref="E4:E16" xr:uid="{00000000-0002-0000-0200-000000000000}">
      <formula1>"Ingredient, Packaging"</formula1>
    </dataValidation>
    <dataValidation type="list" allowBlank="1" showInputMessage="1" showErrorMessage="1" sqref="D4:D16" xr:uid="{00000000-0002-0000-0200-000001000000}">
      <formula1>"P 01, P 02, P 03, P 04, P 05, P 06, P 07, P 08, P 09, P 10, P 11, P 12"</formula1>
    </dataValidation>
    <dataValidation type="list" allowBlank="1" showInputMessage="1" showErrorMessage="1" sqref="I4:I16" xr:uid="{00000000-0002-0000-0200-000002000000}">
      <formula1>"Critical, Minor, Major"</formula1>
    </dataValidation>
    <dataValidation type="list" allowBlank="1" showInputMessage="1" showErrorMessage="1" sqref="L4:L16" xr:uid="{00000000-0002-0000-0200-000003000000}">
      <formula1>"Mahavir, Stephanie, Ranjeet"</formula1>
    </dataValidation>
  </dataValidations>
  <printOptions horizontalCentered="1"/>
  <pageMargins left="0.19685039370078741" right="0.19685039370078741" top="0.39370078740157483" bottom="0.39370078740157483" header="0.11811023622047245" footer="0.11811023622047245"/>
  <pageSetup scale="51" fitToHeight="0" orientation="landscape" r:id="rId1"/>
  <headerFooter alignWithMargins="0">
    <oddHeader>&amp;LThe Great Canadian Meat Company&amp;R&amp;A</oddHeader>
    <oddFooter>&amp;LPrepared by:Food Technology Consulting 
 Approved by: MU&amp;CPage  &amp;P&amp;RRev. Date: 08-Dec-2021 
Rev. # 02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4000000}">
          <x14:formula1>
            <xm:f>'Raw Material List'!$A$2:$A$48</xm:f>
          </x14:formula1>
          <xm:sqref>F3</xm:sqref>
        </x14:dataValidation>
        <x14:dataValidation type="list" allowBlank="1" showInputMessage="1" showErrorMessage="1" xr:uid="{00000000-0002-0000-0200-000005000000}">
          <x14:formula1>
            <xm:f>'Raw Material List'!$A:$A</xm:f>
          </x14:formula1>
          <xm:sqref>F4:F16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2FC515AB-2BF2-47E2-877D-54A0FAFC44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16F6B2-13A3-4DCD-88A0-DFD3A407ED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6F6E43-F31E-4C39-836B-F7E944519C10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Raw Material List</vt:lpstr>
      <vt:lpstr>Graph</vt:lpstr>
      <vt:lpstr>NCR Log</vt:lpstr>
      <vt:lpstr>'NCR Log'!Print_Area</vt:lpstr>
      <vt:lpstr>'NCR Log'!Print_Titles</vt:lpstr>
    </vt:vector>
  </TitlesOfParts>
  <Manager/>
  <Company>Maple Leaf Foods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Patel, Lalit</dc:creator>
  <cp:keywords/>
  <dc:description/>
  <cp:lastModifiedBy>Stephanie Kuzmych</cp:lastModifiedBy>
  <cp:revision/>
  <dcterms:created xsi:type="dcterms:W3CDTF">2005-09-21T12:10:31Z</dcterms:created>
  <dcterms:modified xsi:type="dcterms:W3CDTF">2026-09-04T22:27:47Z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AuthorIds_UIVersion_1024">
    <vt:lpwstr>9778</vt:lpwstr>
  </property>
  <property fmtid="{D5CDD505-2E9C-101B-9397-08002B2CF9AE}" pid="4" name="AuthorIds_UIVersion_3596">
    <vt:lpwstr>9778</vt:lpwstr>
  </property>
  <property fmtid="{D5CDD505-2E9C-101B-9397-08002B2CF9AE}" pid="5" name="MediaServiceImageTags">
    <vt:lpwstr/>
  </property>
</Properties>
</file>