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reatcanadianmeat.sharepoint.com/sites/Consultant/Shared Documents/HACCP GCMC/SQF/Master Records/MASTER RECORDS/"/>
    </mc:Choice>
  </mc:AlternateContent>
  <xr:revisionPtr revIDLastSave="827" documentId="8_{980AD14B-5FA2-425C-B359-5CC9C6EAA72B}" xr6:coauthVersionLast="47" xr6:coauthVersionMax="47" xr10:uidLastSave="{17075665-233B-4804-8B12-4232AD0C695F}"/>
  <bookViews>
    <workbookView xWindow="-110" yWindow="-110" windowWidth="19420" windowHeight="11500" xr2:uid="{7F4B0487-E937-4D49-AD49-0E91EFB9900F}"/>
  </bookViews>
  <sheets>
    <sheet name="Verification Schedule" sheetId="1" r:id="rId1"/>
    <sheet name="RC2 Trend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__________________________________________________________________________may14">#REF!</definedName>
    <definedName name="_________________________________________________________________________may14">#REF!</definedName>
    <definedName name="________________________________________________________________________may14">#REF!</definedName>
    <definedName name="_______________________________________________________________________may14">#REF!</definedName>
    <definedName name="______________________________________________________________________may14">#REF!</definedName>
    <definedName name="_____________________________________________________________________may14">#REF!</definedName>
    <definedName name="____________________________________________________________________may14">#REF!</definedName>
    <definedName name="___________________________________________________________________may14">#REF!</definedName>
    <definedName name="__________________________________________________________________may14">#REF!</definedName>
    <definedName name="_________________________________________________________________may14">#REF!</definedName>
    <definedName name="________________________________________________________________may14">#REF!</definedName>
    <definedName name="_______________________________________________________________may14">#REF!</definedName>
    <definedName name="______________________________________________________________may14">#REF!</definedName>
    <definedName name="_____________________________________________________________may14">#REF!</definedName>
    <definedName name="____________________________________________________________may14">#REF!</definedName>
    <definedName name="___________________________________________________________may14">#REF!</definedName>
    <definedName name="__________________________________________________________may14">#REF!</definedName>
    <definedName name="_________________________________________________________may14">#REF!</definedName>
    <definedName name="________________________________________________________may14">#REF!</definedName>
    <definedName name="_______________________________________________________may14">#REF!</definedName>
    <definedName name="______________________________________________________may14">#REF!</definedName>
    <definedName name="_____________________________________________________may14">#REF!</definedName>
    <definedName name="____________________________________________________may14">#REF!</definedName>
    <definedName name="___________________________________________________may14">#REF!</definedName>
    <definedName name="__________________________________________________may14">#REF!</definedName>
    <definedName name="_________________________________________________may14">#REF!</definedName>
    <definedName name="________________________________________________may14">#REF!</definedName>
    <definedName name="_______________________________________________may14">#REF!</definedName>
    <definedName name="______________________________________________may14">#REF!</definedName>
    <definedName name="_____________________________________________may14">#REF!</definedName>
    <definedName name="____________________________________________may14">#REF!</definedName>
    <definedName name="___________________________________________may14">#REF!</definedName>
    <definedName name="__________________________________________may14">#REF!</definedName>
    <definedName name="_________________________________________may14">#REF!</definedName>
    <definedName name="________________________________________may14">#REF!</definedName>
    <definedName name="_______________________________________may14">#REF!</definedName>
    <definedName name="______________________________________may14">#REF!</definedName>
    <definedName name="_____________________________________may14">#REF!</definedName>
    <definedName name="____________________________________may14">#REF!</definedName>
    <definedName name="___________________________________may14">#REF!</definedName>
    <definedName name="__________________________________may14">#REF!</definedName>
    <definedName name="_________________________________may14">#REF!</definedName>
    <definedName name="________________________________may14">#REF!</definedName>
    <definedName name="_______________________________may14">#REF!</definedName>
    <definedName name="______________________________may14">#REF!</definedName>
    <definedName name="_____________________________may14">#REF!</definedName>
    <definedName name="____________________________may14">#REF!</definedName>
    <definedName name="___________________________may14">#REF!</definedName>
    <definedName name="__________________________may14">#REF!</definedName>
    <definedName name="_________________________may14">#REF!</definedName>
    <definedName name="________________________may14">#REF!</definedName>
    <definedName name="_______________________may14">#REF!</definedName>
    <definedName name="______________________may14">#REF!</definedName>
    <definedName name="_____________________may14">#REF!</definedName>
    <definedName name="____________________may14">#REF!</definedName>
    <definedName name="___________________may14">#REF!</definedName>
    <definedName name="__________________may14">#REF!</definedName>
    <definedName name="_________________may14">#REF!</definedName>
    <definedName name="________________may14">#REF!</definedName>
    <definedName name="_______________may14">#REF!</definedName>
    <definedName name="______________may14">#REF!</definedName>
    <definedName name="_____________may14">#REF!</definedName>
    <definedName name="____________may14">#REF!</definedName>
    <definedName name="___________may14">#REF!</definedName>
    <definedName name="__________may14">#REF!</definedName>
    <definedName name="_________may14">#REF!</definedName>
    <definedName name="________may14">#REF!</definedName>
    <definedName name="_______may14">#REF!</definedName>
    <definedName name="______may14">#REF!</definedName>
    <definedName name="_____may14">#REF!</definedName>
    <definedName name="____may14">#REF!</definedName>
    <definedName name="___may14">#REF!</definedName>
    <definedName name="__may14">#REF!</definedName>
    <definedName name="_apr">#REF!</definedName>
    <definedName name="_may14">#REF!</definedName>
    <definedName name="_May14v2">#REF!</definedName>
    <definedName name="a">#REF!</definedName>
    <definedName name="aa">#REF!</definedName>
    <definedName name="Abc">#REF!</definedName>
    <definedName name="Affected">[1]Data!$A$40:$A$46</definedName>
    <definedName name="AprSun1">#N/A</definedName>
    <definedName name="AugSun1">#N/A</definedName>
    <definedName name="b">#REF!</definedName>
    <definedName name="bbb">#REF!</definedName>
    <definedName name="Boolean">[1]Data!$A$93:$A$95</definedName>
    <definedName name="CalendarYear">'[2]RC-90'!$AD$1</definedName>
    <definedName name="CCP_Name">[1]Data!$A$60:$A$62</definedName>
    <definedName name="ddd">#REF!</definedName>
    <definedName name="DecSun1">DATE(CalendarYear,12,1)-WEEKDAY(DATE(CalendarYear,12,1))</definedName>
    <definedName name="Desc">#REF!</definedName>
    <definedName name="Description">[3]Sheet1!$A$10:$A$18</definedName>
    <definedName name="Detect_of_Milk_Residue___Casein_or_Whey___by_using_Neogen___Veratox_Total_Milk_Allergen_Test_Kit">#REF!</definedName>
    <definedName name="DI">#REF!</definedName>
    <definedName name="DKWED23SKHDS2DHLKWS">#REF!</definedName>
    <definedName name="dodod">#REF!</definedName>
    <definedName name="ef">#REF!</definedName>
    <definedName name="EMP_LIST">'[4]RC-19'!$A$4:$S$149</definedName>
    <definedName name="EmpListEland">#REF!</definedName>
    <definedName name="EmployeeList">'[5]RC-50'!$A$3:$Y$78</definedName>
    <definedName name="Excel_BuiltIn_Print_Area_1">#REF!</definedName>
    <definedName name="fdds">#REF!</definedName>
    <definedName name="Feb_04_2013">#REF!</definedName>
    <definedName name="FebSun1">DATE(CalendarYear,2,1)-WEEKDAY(DATE(CalendarYear,2,1))</definedName>
    <definedName name="ggjkn">#REF!</definedName>
    <definedName name="gm">#REF!</definedName>
    <definedName name="goca">#REF!</definedName>
    <definedName name="HACCP_PLan">[1]Data!$A$56:$A$57</definedName>
    <definedName name="hello">#REF!</definedName>
    <definedName name="hfkdh">#REF!</definedName>
    <definedName name="hh">#REF!</definedName>
    <definedName name="hkhkj">#REF!</definedName>
    <definedName name="ImportantDates">'[2]RC-90'!#REF!</definedName>
    <definedName name="JanSun1">DATE(CalendarYear,1,1)-WEEKDAY(DATE(CalendarYear,1,1))</definedName>
    <definedName name="jdjf">#REF!</definedName>
    <definedName name="jj">#REF!</definedName>
    <definedName name="jksnhdkahbsd">#REF!</definedName>
    <definedName name="JulSun1">DATE(CalendarYear,7,1)-WEEKDAY(DATE(CalendarYear,7,1))</definedName>
    <definedName name="JunSun1">DATE(CalendarYear,6,1)-WEEKDAY(DATE(CalendarYear,6,1))</definedName>
    <definedName name="kdfjngkjdahgj">#REF!</definedName>
    <definedName name="khmkfg">#REF!</definedName>
    <definedName name="kmk">#REF!</definedName>
    <definedName name="list">#REF!</definedName>
    <definedName name="lol">#REF!</definedName>
    <definedName name="Manual">[1]Data!$A$75:$A$81</definedName>
    <definedName name="MarSun1">DATE(CalendarYear,3,1)-WEEKDAY(DATE(CalendarYear,3,1))</definedName>
    <definedName name="may">#REF!</definedName>
    <definedName name="MaySun1">DATE(CalendarYear,5,1)-WEEKDAY(DATE(CalendarYear,5,1))</definedName>
    <definedName name="mf">#REF!</definedName>
    <definedName name="micro">#REF!</definedName>
    <definedName name="mil">#REF!</definedName>
    <definedName name="mile">#REF!</definedName>
    <definedName name="milena">#REF!</definedName>
    <definedName name="mimi">#REF!</definedName>
    <definedName name="mmmmmmm">#REF!</definedName>
    <definedName name="monitoring">#REF!</definedName>
    <definedName name="month">#REF!</definedName>
    <definedName name="n">#REF!</definedName>
    <definedName name="Name">[1]Data!$A$22:$A$25</definedName>
    <definedName name="nasve">#REF!</definedName>
    <definedName name="new">#REF!</definedName>
    <definedName name="nmbcvmb">#REF!</definedName>
    <definedName name="nmn">#REF!</definedName>
    <definedName name="No_Infraction">#REF!</definedName>
    <definedName name="novo">#REF!</definedName>
    <definedName name="novooo">#REF!</definedName>
    <definedName name="NovSun1">DATE(CalendarYear,11,1)-WEEKDAY(DATE(CalendarYear,11,1))</definedName>
    <definedName name="novvo">#REF!</definedName>
    <definedName name="np">DATE(CalendarYear,2,1)-WEEKDAY(DATE(CalendarYear,2,1))</definedName>
    <definedName name="OctSun1">DATE(CalendarYear,10,1)-WEEKDAY(DATE(CalendarYear,10,1))</definedName>
    <definedName name="OPPOOSPAJ">#REF!</definedName>
    <definedName name="oritu">#REF!</definedName>
    <definedName name="P">#REF!</definedName>
    <definedName name="Premises">#REF!</definedName>
    <definedName name="Prereq">[1]Data!$A$65:$A$72</definedName>
    <definedName name="Prob">[6]Data!$A$52:$A$56</definedName>
    <definedName name="Programs">[7]Data!$A$2:$A$11</definedName>
    <definedName name="q">#REF!</definedName>
    <definedName name="Raw">#REF!</definedName>
    <definedName name="Raw_preparation_packaging_room">#REF!</definedName>
    <definedName name="Raws">#REF!</definedName>
    <definedName name="RCxxx">#REF!</definedName>
    <definedName name="Records">'[8]RC-56'!$A$26:$A$27</definedName>
    <definedName name="sdfsd">#REF!</definedName>
    <definedName name="sdk">#REF!</definedName>
    <definedName name="sds">#REF!</definedName>
    <definedName name="SepSun1">DATE(CalendarYear,9,1)-WEEKDAY(DATE(CalendarYear,9,1))</definedName>
    <definedName name="Sever">[6]Data!$A$60:$A$64</definedName>
    <definedName name="sfsd">#REF!</definedName>
    <definedName name="Sifting">#REF!</definedName>
    <definedName name="Siftingi">#REF!</definedName>
    <definedName name="st">#REF!</definedName>
    <definedName name="stefan">#REF!</definedName>
    <definedName name="stefan1">#REF!</definedName>
    <definedName name="Task_Table">#REF!</definedName>
    <definedName name="TaskOwner">#REF!</definedName>
    <definedName name="Title">[1]Data!$A$28:$A$31</definedName>
    <definedName name="Trends">[1]Data!$A$84:$A$90</definedName>
    <definedName name="Type">[3]Sheet1!$A$4:$A$6</definedName>
    <definedName name="TypeA">#REF!</definedName>
    <definedName name="u">#REF!</definedName>
    <definedName name="Unit">[1]Data!$A$49:$A$53</definedName>
    <definedName name="vesna">#REF!</definedName>
    <definedName name="w">#REF!</definedName>
    <definedName name="xxxx">#REF!</definedName>
    <definedName name="Year">[1]Data!$A$34:$A$37</definedName>
    <definedName name="yy">#REF!</definedName>
    <definedName name="z">#REF!</definedName>
    <definedName name="Z_4BF20491_7026_4471_B368_240266DAC8E9_.wvu.FilterData" localSheetId="0" hidden="1">'Verification Schedule'!$A$1:$P$17</definedName>
    <definedName name="ZXAXAXXAAAAAAAAAAAAAAAAAAAAAAAAAAAAAAAAAAAAA">#REF!</definedName>
    <definedName name="zzzccvcv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5" i="1" l="1"/>
  <c r="B32" i="1"/>
  <c r="A15" i="1"/>
  <c r="A11" i="1"/>
  <c r="A8" i="1"/>
  <c r="A7" i="1"/>
  <c r="A6" i="1"/>
  <c r="A5" i="1"/>
</calcChain>
</file>

<file path=xl/sharedStrings.xml><?xml version="1.0" encoding="utf-8"?>
<sst xmlns="http://schemas.openxmlformats.org/spreadsheetml/2006/main" count="816" uniqueCount="321">
  <si>
    <t>Verification Schedule - Documents</t>
  </si>
  <si>
    <t>Year : 2026</t>
  </si>
  <si>
    <t>Name of Document/s</t>
  </si>
  <si>
    <t>Record #</t>
  </si>
  <si>
    <t>Verification Responsibility  / Title</t>
  </si>
  <si>
    <t>Freq.</t>
  </si>
  <si>
    <t>MONTH</t>
  </si>
  <si>
    <t>WRITTEN PROGRAM/S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</si>
  <si>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</si>
  <si>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</si>
  <si>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</si>
  <si>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</si>
  <si>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</si>
  <si>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</si>
  <si>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</si>
  <si>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</si>
  <si>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</si>
  <si>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</si>
  <si>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</si>
  <si>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</si>
  <si>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N/A</t>
  </si>
  <si>
    <t>Food Safety Specialist</t>
  </si>
  <si>
    <t>1x/y</t>
  </si>
  <si>
    <t xml:space="preserve"> </t>
  </si>
  <si>
    <t>Sanitation Manual</t>
  </si>
  <si>
    <t>Training Manual</t>
  </si>
  <si>
    <t>HR Manual</t>
  </si>
  <si>
    <t>sept</t>
  </si>
  <si>
    <t>Verification Schedule - Records</t>
  </si>
  <si>
    <t>Name of Record</t>
  </si>
  <si>
    <t>PRP A - PREMISES (GROUNDS &amp; FACILITIES)</t>
  </si>
  <si>
    <t>PREMISES INSPECTION RECORD</t>
  </si>
  <si>
    <t>RC-1</t>
  </si>
  <si>
    <t>Food Safety Specialist; Semi-annually</t>
  </si>
  <si>
    <t>2x/y</t>
  </si>
  <si>
    <t>yes</t>
  </si>
  <si>
    <t xml:space="preserve">PREOPERATIONAL RECORD - PACKAGING AREA </t>
  </si>
  <si>
    <t>RC-2</t>
  </si>
  <si>
    <t>HACCP Coordinator;monthly</t>
  </si>
  <si>
    <t>1x/m</t>
  </si>
  <si>
    <t xml:space="preserve">PREOPERATIONAL RECORD - SHIPPING AREA ( New Building ) </t>
  </si>
  <si>
    <t>RC-2A</t>
  </si>
  <si>
    <t>sc</t>
  </si>
  <si>
    <t>sk</t>
  </si>
  <si>
    <t xml:space="preserve">PREOPERATIONAL RECORD - RAW AREA </t>
  </si>
  <si>
    <t>RC-3</t>
  </si>
  <si>
    <t xml:space="preserve">OPERATIONAL RECORD - PACKAGING AREA </t>
  </si>
  <si>
    <t>RC-4</t>
  </si>
  <si>
    <t>OPERATIONAL RECORD - SHIPPING AREA</t>
  </si>
  <si>
    <t>RC-4A</t>
  </si>
  <si>
    <t xml:space="preserve">OPERATIONAL RECORD - RAW AREA </t>
  </si>
  <si>
    <t>RC-5</t>
  </si>
  <si>
    <t xml:space="preserve">COLOUR CODING LIST </t>
  </si>
  <si>
    <t>RC-6</t>
  </si>
  <si>
    <t>AIR AND WATER FILTERS INSPECTION RECORD</t>
  </si>
  <si>
    <t>RC-7</t>
  </si>
  <si>
    <t>PRP B - TRANSPORTATION, STORAGE, PURCHASING AND SUPPLIER APPROVAL</t>
  </si>
  <si>
    <t>RECEIVING LOG - RAW AREA</t>
  </si>
  <si>
    <t>RC-8A</t>
  </si>
  <si>
    <t>HACCP Coordinator</t>
  </si>
  <si>
    <t>4x/m</t>
  </si>
  <si>
    <t xml:space="preserve">RECEIVING LOG - PACKAGING / Ingredient / Raw (digital output) </t>
  </si>
  <si>
    <t>RC-8B</t>
  </si>
  <si>
    <t>SHIPPING LOG</t>
  </si>
  <si>
    <t>RC-9</t>
  </si>
  <si>
    <t>rhonda</t>
  </si>
  <si>
    <t>LIST OF APPROVED SUPPLIERS</t>
  </si>
  <si>
    <t>4x/y</t>
  </si>
  <si>
    <t>PRP C - EQUIPMENT (Maintenance and Calibration)</t>
  </si>
  <si>
    <t>LIST OF EQUIPMENT / UTENSILS</t>
  </si>
  <si>
    <t>RC-11</t>
  </si>
  <si>
    <t>Food Safety Specialist; Annually</t>
  </si>
  <si>
    <t>PREVENTATIVE MAINTENANCE RECORD - RAW (NON-DAILY)</t>
  </si>
  <si>
    <t>RC-12</t>
  </si>
  <si>
    <t>Food Safety Specialist; Quarterly</t>
  </si>
  <si>
    <t>1x/3m</t>
  </si>
  <si>
    <t>2025 completed</t>
  </si>
  <si>
    <t>PREVENTATIVE MAINTENANCE RECORD - RAW MEAT AREA (DAILY)</t>
  </si>
  <si>
    <t>RC-12B</t>
  </si>
  <si>
    <t>HACCP Coordinator; monthly</t>
  </si>
  <si>
    <t>PREVENTATIVE MAINTENANCE RECORD - PACKAGING AREA</t>
  </si>
  <si>
    <t>RC-13</t>
  </si>
  <si>
    <t>PREVENTATIVE MAINTENANCE RECORD (DAILY) - PACKAGING AREA</t>
  </si>
  <si>
    <t>RC-13B</t>
  </si>
  <si>
    <t>HACCP Coordinator; Weekly</t>
  </si>
  <si>
    <t>NEW EQUIPMENT / UTENSILS RECORD</t>
  </si>
  <si>
    <t>RC-14</t>
  </si>
  <si>
    <t>WORK ORDER</t>
  </si>
  <si>
    <t>RC-15</t>
  </si>
  <si>
    <t>HACCP Coordinator; Quarterly</t>
  </si>
  <si>
    <t>digital</t>
  </si>
  <si>
    <t>THERMOMETER MONITORING RECORD (HANDHELD)</t>
  </si>
  <si>
    <t>RC-16A</t>
  </si>
  <si>
    <t>Food Safety Specialist ; Semi-annually</t>
  </si>
  <si>
    <t>1x/6m</t>
  </si>
  <si>
    <t>calibration na</t>
  </si>
  <si>
    <t>na</t>
  </si>
  <si>
    <t>THERMOMETER MONITORING RECORD (WALL UNITS)</t>
  </si>
  <si>
    <t>RC-16B</t>
  </si>
  <si>
    <t>preop/contractor</t>
  </si>
  <si>
    <t>THERMOMETER MONITORING RECORD (SMOKEHOUSES)</t>
  </si>
  <si>
    <t>RC-16C</t>
  </si>
  <si>
    <t>contractor</t>
  </si>
  <si>
    <t>EQUIPMENT SERVICE / CALIBRATION SCHEDULE</t>
  </si>
  <si>
    <t>RC-16D</t>
  </si>
  <si>
    <t>SCALE CALIBRATION RECORD</t>
  </si>
  <si>
    <t>RC-78</t>
  </si>
  <si>
    <t>Food Safety Specialist ; annual</t>
  </si>
  <si>
    <t>PH METER CALIBRATION RECORD</t>
  </si>
  <si>
    <t>RC-17</t>
  </si>
  <si>
    <t>Food Safety Specialist; annual</t>
  </si>
  <si>
    <t>EnSure METER CALIBRATION RECORD</t>
  </si>
  <si>
    <t>RC-17A</t>
  </si>
  <si>
    <t>LIST OF APPROVED CONTRACTORS</t>
  </si>
  <si>
    <t>RC-25</t>
  </si>
  <si>
    <t>PRP D - TRAINING</t>
  </si>
  <si>
    <t>EMPLOYEES TRAINING RECORD</t>
  </si>
  <si>
    <t>RC-18</t>
  </si>
  <si>
    <t xml:space="preserve">Food Safety Specialist; As per record / min of Annually </t>
  </si>
  <si>
    <t>TRAINING SCHEDULE</t>
  </si>
  <si>
    <t>RC-19</t>
  </si>
  <si>
    <t>Notice of change RECORD</t>
  </si>
  <si>
    <t>RC-44</t>
  </si>
  <si>
    <t xml:space="preserve">Food Safety Specialist; As per record </t>
  </si>
  <si>
    <t>as needed</t>
  </si>
  <si>
    <t xml:space="preserve">VISITOR’S/CONTRACTOR’S SIGN IN/OUT LOG BOOK   </t>
  </si>
  <si>
    <t>RC-20</t>
  </si>
  <si>
    <t>Receptionist; monthly file</t>
  </si>
  <si>
    <t>PRP E - SANITATION</t>
  </si>
  <si>
    <t>BUILDING SANITATION RECORD</t>
  </si>
  <si>
    <t>RC-21</t>
  </si>
  <si>
    <t>Foor Safety Specialist; Semi-Annually</t>
  </si>
  <si>
    <t>SANITATION RECORD - PACKAGING AREA</t>
  </si>
  <si>
    <t>RC-22</t>
  </si>
  <si>
    <t>HACCP Coordinator; Monthly</t>
  </si>
  <si>
    <t>SANITATION RECORD - Common Area</t>
  </si>
  <si>
    <t>RC-22A</t>
  </si>
  <si>
    <t>SANITATION RECORD - RAW AREASmokehouse operator</t>
  </si>
  <si>
    <t>RC-23</t>
  </si>
  <si>
    <t>pr</t>
  </si>
  <si>
    <t>SANITATION RECORD</t>
  </si>
  <si>
    <t>RC-23A</t>
  </si>
  <si>
    <t>LAB TESTING SCHEDULE</t>
  </si>
  <si>
    <t>RC-24</t>
  </si>
  <si>
    <t>BLOOD SPILL SANITATION RECORD</t>
  </si>
  <si>
    <t>RC-26</t>
  </si>
  <si>
    <t>HACCP Coordinator; Annually</t>
  </si>
  <si>
    <t>CHEMICAL CONCENTRATION LOG</t>
  </si>
  <si>
    <t>RC-66</t>
  </si>
  <si>
    <t>outside</t>
  </si>
  <si>
    <t>sani</t>
  </si>
  <si>
    <t>BOOT BATH-CHEMICAL CONCENTRATION LOG</t>
  </si>
  <si>
    <t>RC-37</t>
  </si>
  <si>
    <t>obsolete- May 2, 2024</t>
  </si>
  <si>
    <t>PRP F - RECALL</t>
  </si>
  <si>
    <t>HOLD RECORD</t>
  </si>
  <si>
    <t>RC-27</t>
  </si>
  <si>
    <t>HOLD LOG BOOK</t>
  </si>
  <si>
    <t>RC-28</t>
  </si>
  <si>
    <t>FOOD SAFETY DEVIATION RECORD</t>
  </si>
  <si>
    <t>RC-29</t>
  </si>
  <si>
    <t>MOCK RECALL RECORD (Finished Product)(including rework if possible)</t>
  </si>
  <si>
    <t>RC-30</t>
  </si>
  <si>
    <t>april</t>
  </si>
  <si>
    <t>MOCK RECALL RECORD (Ingredient)</t>
  </si>
  <si>
    <t>RC-30B</t>
  </si>
  <si>
    <t>MOCK RECALL RECORD (Packaging Material)</t>
  </si>
  <si>
    <t>RC-30C</t>
  </si>
  <si>
    <t>aug</t>
  </si>
  <si>
    <t>CUSTOMER COMPLAINTS RECORD</t>
  </si>
  <si>
    <t>RC-31</t>
  </si>
  <si>
    <t>CUSTOMER COMPLAINTS LOG RECORD</t>
  </si>
  <si>
    <t>RC-32</t>
  </si>
  <si>
    <t xml:space="preserve">COMPLAINT TO SUPPLIER RECORD            </t>
  </si>
  <si>
    <t>RC-33</t>
  </si>
  <si>
    <t>COMPLAINT TO SUPPLIER LOG RECORD</t>
  </si>
  <si>
    <t>RC-34</t>
  </si>
  <si>
    <t xml:space="preserve">LOG BOOK </t>
  </si>
  <si>
    <t>PRP G - OPERATIONAL CONTROLS</t>
  </si>
  <si>
    <t>LABEL VERIFICATION  RECORD</t>
  </si>
  <si>
    <t>RC-36</t>
  </si>
  <si>
    <t>SPICE INVENTORY RECORD</t>
  </si>
  <si>
    <t>RC-38</t>
  </si>
  <si>
    <t>part of monthly inventory</t>
  </si>
  <si>
    <t>DAILY PRODUCTION SCHEDULING RECORD</t>
  </si>
  <si>
    <t>RC-39</t>
  </si>
  <si>
    <t>NEW/MODIFIED PRODUCT FORMULATION RECORD</t>
  </si>
  <si>
    <t>RC-85</t>
  </si>
  <si>
    <t>President/ SQFP 
Any time new product is developed or current formulation modified</t>
  </si>
  <si>
    <t>PACKAGING RECORD</t>
  </si>
  <si>
    <t>RC-40 A</t>
  </si>
  <si>
    <t>METAL DETECTION RECORD</t>
  </si>
  <si>
    <t>RC-40 B</t>
  </si>
  <si>
    <t>Facility Allergen Risk Assessment</t>
  </si>
  <si>
    <t>RC-70</t>
  </si>
  <si>
    <t xml:space="preserve">QA Daily On-site Inspection </t>
  </si>
  <si>
    <t>RC-87</t>
  </si>
  <si>
    <t>CCP Records</t>
  </si>
  <si>
    <t>SUMMARY OF CCP MONITORING</t>
  </si>
  <si>
    <t>RC-45</t>
  </si>
  <si>
    <t>HAM TEM. COOLING MONITORING RECORD- CCP3-B</t>
  </si>
  <si>
    <t>RC-48</t>
  </si>
  <si>
    <t xml:space="preserve">HACCP Coordinator, Each Batch </t>
  </si>
  <si>
    <t>not in use</t>
  </si>
  <si>
    <t>INJECTING RECORD - HAMS (FORMULA #82A)</t>
  </si>
  <si>
    <t>RC-49A</t>
  </si>
  <si>
    <t>HACCP Coordinator, Annually</t>
  </si>
  <si>
    <t>INJECTING RECORD - BACON (FORMULA #82B)</t>
  </si>
  <si>
    <t>RC-49B</t>
  </si>
  <si>
    <t>OTHER:</t>
  </si>
  <si>
    <t xml:space="preserve">GLASS/ RIGID PLASTIC MONITORING RECORD </t>
  </si>
  <si>
    <t>RC-41</t>
  </si>
  <si>
    <t>Food Safety Specialist; Semi-Annually</t>
  </si>
  <si>
    <t>march yes</t>
  </si>
  <si>
    <t>PRE-SHIPMENT AND TAG VERIFICATION RECORD - COOKED SAUSAGES / HAMS</t>
  </si>
  <si>
    <t>RC-42A</t>
  </si>
  <si>
    <t>Food Safety Specialist Monthly</t>
  </si>
  <si>
    <t>a tag verified as part of release program</t>
  </si>
  <si>
    <t>PRE-SHIPMENT AND TAG VERIFICATION RECORD - FERMENTED / SHELF - STABLE</t>
  </si>
  <si>
    <t>RC-42B</t>
  </si>
  <si>
    <t>Food Safety Specialist; Monthly</t>
  </si>
  <si>
    <t>PRE-SHIPMENT AND TAG VERIFICATION RECORD - JERKY</t>
  </si>
  <si>
    <t>RC-42C</t>
  </si>
  <si>
    <t>BLANK</t>
  </si>
  <si>
    <t>RC-43</t>
  </si>
  <si>
    <t>MONITORING /VERIFICATION RECORD</t>
  </si>
  <si>
    <t>RC-47</t>
  </si>
  <si>
    <t>Food Safety Specialist; as per record</t>
  </si>
  <si>
    <t>on forms</t>
  </si>
  <si>
    <t>DEHYDRATION MONITORING RECORD</t>
  </si>
  <si>
    <t>RC-50 A</t>
  </si>
  <si>
    <t>RC-50 B</t>
  </si>
  <si>
    <t>RC-50 C</t>
  </si>
  <si>
    <t>IN HOUSE SHELF LIFE EVALUATION RECORD</t>
  </si>
  <si>
    <t>RC-51</t>
  </si>
  <si>
    <t xml:space="preserve">Food Safety Specialist;
Annualy </t>
  </si>
  <si>
    <t>sent</t>
  </si>
  <si>
    <t>PRODUCT ORGANOLEPTIC REVIEW</t>
  </si>
  <si>
    <t>RC-53</t>
  </si>
  <si>
    <t>Food Safety Specialist; Annualy</t>
  </si>
  <si>
    <t xml:space="preserve">as needed </t>
  </si>
  <si>
    <t xml:space="preserve">Sanitation Chemical Inventory </t>
  </si>
  <si>
    <t>RC-52</t>
  </si>
  <si>
    <t xml:space="preserve">HACCP Coordinator , Quarterly </t>
  </si>
  <si>
    <t>june</t>
  </si>
  <si>
    <t>LIST OF PLANT SIGNS</t>
  </si>
  <si>
    <t>RC-55</t>
  </si>
  <si>
    <t xml:space="preserve">HACCP Coordinator , Annualy </t>
  </si>
  <si>
    <t>not required</t>
  </si>
  <si>
    <t>RC-54</t>
  </si>
  <si>
    <t>Defrosting Meat Temperature Montoring Record</t>
  </si>
  <si>
    <t>RC-64</t>
  </si>
  <si>
    <t>not defrosting / thawing for use</t>
  </si>
  <si>
    <t>APPROVED LABEL RECORD</t>
  </si>
  <si>
    <t>RC-67</t>
  </si>
  <si>
    <t>all specs and labels</t>
  </si>
  <si>
    <t>SIFTER LOG</t>
  </si>
  <si>
    <t>RC-68</t>
  </si>
  <si>
    <t>PROFICIENCY TESTING RECORD</t>
  </si>
  <si>
    <t>RC-69</t>
  </si>
  <si>
    <t>RAW MATERIAL USAGE RECORD</t>
  </si>
  <si>
    <t>RC-74</t>
  </si>
  <si>
    <t xml:space="preserve">VALIDATION RISK ASSESSMENT SCHEDULE </t>
  </si>
  <si>
    <t>RC-88</t>
  </si>
  <si>
    <t>see bottom verification schedule added</t>
  </si>
  <si>
    <t>Trial Project Request</t>
  </si>
  <si>
    <t>RC-101</t>
  </si>
  <si>
    <t>HACCP Coordinator; as needed</t>
  </si>
  <si>
    <t>as required</t>
  </si>
  <si>
    <t>Applicable Acts and Regulations</t>
  </si>
  <si>
    <t>Meat Inspection Regulations, 1990 (SOR/90-288)</t>
  </si>
  <si>
    <t>Meat Hygiene Manual of Procedures; Chapter 4</t>
  </si>
  <si>
    <r>
      <rPr>
        <sz val="10"/>
        <color theme="1"/>
        <rFont val="Calibri"/>
        <family val="2"/>
      </rPr>
      <t xml:space="preserve">Meat and Poultry Products Regulations; Food Safety Enhancement Program </t>
    </r>
    <r>
      <rPr>
        <b/>
        <sz val="10"/>
        <color theme="1"/>
        <rFont val="Calibri"/>
        <family val="2"/>
      </rPr>
      <t xml:space="preserve">(FSEP) </t>
    </r>
    <r>
      <rPr>
        <sz val="10"/>
        <color theme="1"/>
        <rFont val="Calibri"/>
        <family val="2"/>
      </rPr>
      <t>Manual</t>
    </r>
  </si>
  <si>
    <t>Food and Drugs Act; 
Food and Drug Regulations (C.R.C., c. 870); Part #2 : Division 01 Nutritional labelling</t>
  </si>
  <si>
    <t xml:space="preserve">Health Protection and Promotion Act; O. Reg 562 Part #3 and 4
</t>
  </si>
  <si>
    <t>Consumer Packaging and Labeling Act;
Consumer Packaging and Labeling Regulations (C.R.C., c. 417)</t>
  </si>
  <si>
    <t xml:space="preserve">Safe Drinking Water Act (Ontario);
O. Reg 169/03 Ontario </t>
  </si>
  <si>
    <t>Drinking Water Quality Standards; O. Reg 170/03 Drinking Water Systems</t>
  </si>
  <si>
    <t>Health Canada's Guidelines for Drinking; Water Quality
Table 1 : Microbiological Parameters
Table 2: Chemical and Physical Parameters</t>
  </si>
  <si>
    <t>The Weights and Measures Act (R.S.C., 1985, c. W-6)Principes of the Average System-   Tolerances of Net Quantities</t>
  </si>
  <si>
    <t>The Average System of Net Quantity Determination, CFIA</t>
  </si>
  <si>
    <t>US FDA Regulation
Food: Labelling and Nutritional Overview</t>
  </si>
  <si>
    <t>Internal Audit</t>
  </si>
  <si>
    <t>SQF section 2.7.1</t>
  </si>
  <si>
    <t>FSS</t>
  </si>
  <si>
    <t xml:space="preserve">ANNUAL EXERCISE </t>
  </si>
  <si>
    <t>Food Defense Challenge</t>
  </si>
  <si>
    <t>Crisis Management Activity</t>
  </si>
  <si>
    <t>SQF section 2.6.4</t>
  </si>
  <si>
    <t>Pest Control Contracts</t>
  </si>
  <si>
    <t>Risk Assessments</t>
  </si>
  <si>
    <t>RA Service Contractor</t>
  </si>
  <si>
    <t>RA Allergen</t>
  </si>
  <si>
    <t>SQF section 2.8.1</t>
  </si>
  <si>
    <t>RA Ducting, Conduit and Pipes</t>
  </si>
  <si>
    <t>SQF section 11.1.2</t>
  </si>
  <si>
    <t xml:space="preserve">RA Internal Audit </t>
  </si>
  <si>
    <t>SQF section 2.5.4</t>
  </si>
  <si>
    <t xml:space="preserve">RA Lab testing Schedule </t>
  </si>
  <si>
    <t>SQF section 2.4.4, 2.4.8</t>
  </si>
  <si>
    <t>RA Metal Detector</t>
  </si>
  <si>
    <t>SQF section 11.7.4</t>
  </si>
  <si>
    <t xml:space="preserve">RA Overflow and temporary Storage </t>
  </si>
  <si>
    <t>SQF section 11.6.1</t>
  </si>
  <si>
    <t xml:space="preserve">RA Verification </t>
  </si>
  <si>
    <t>SQF section 2.5.2</t>
  </si>
  <si>
    <t>RA Uniforms and Hairnets</t>
  </si>
  <si>
    <t>SQF section 11.3.3</t>
  </si>
  <si>
    <t xml:space="preserve">RA Threat </t>
  </si>
  <si>
    <t xml:space="preserve">RA Vulnerability </t>
  </si>
  <si>
    <t>SQF section 2.7.2</t>
  </si>
  <si>
    <t>Packaging Pre OP</t>
  </si>
  <si>
    <t>Reclean Area</t>
  </si>
  <si>
    <t>repack</t>
  </si>
  <si>
    <t>strip machine</t>
  </si>
  <si>
    <t>V1</t>
  </si>
  <si>
    <t>salami table</t>
  </si>
  <si>
    <t>jerky</t>
  </si>
  <si>
    <t>March</t>
  </si>
  <si>
    <t>autobagger</t>
  </si>
  <si>
    <t>v2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</si>
</sst>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>
    <font>
      <sz val="11"/>
      <color theme="1"/>
      <name val="Calibri"/>
      <family val="2"/>
      <scheme val="minor"/>
    </font>
    <font>
      <b/>
      <sz val="14"/>
      <color rgb="FF002060"/>
      <name val="Calibri"/>
      <family val="2"/>
    </font>
    <font>
      <sz val="11"/>
      <name val="Calibri"/>
      <family val="2"/>
    </font>
    <font>
      <b/>
      <sz val="11"/>
      <color rgb="FF0B5394"/>
      <name val="Calibri"/>
      <family val="2"/>
    </font>
    <font>
      <b/>
      <sz val="12"/>
      <color rgb="FF073763"/>
      <name val="Calibri"/>
      <family val="2"/>
    </font>
    <font>
      <b/>
      <sz val="11"/>
      <color theme="1"/>
      <name val="Calibri"/>
      <family val="2"/>
    </font>
    <font>
      <b/>
      <u/>
      <sz val="11"/>
      <color rgb="FF0B5394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1"/>
      <color theme="1"/>
      <name val="Calibri"/>
      <family val="2"/>
    </font>
    <font>
      <b/>
      <sz val="14"/>
      <color rgb="FF0B5394"/>
      <name val="Calibri"/>
      <family val="2"/>
    </font>
    <font>
      <b/>
      <sz val="11"/>
      <color rgb="FF073763"/>
      <name val="Calibri"/>
      <family val="2"/>
    </font>
    <font>
      <b/>
      <sz val="11"/>
      <color rgb="FF000000"/>
      <name val="Calibri"/>
      <family val="2"/>
    </font>
    <font>
      <u/>
      <sz val="10"/>
      <color rgb="FF0000FF"/>
      <name val="Calibri"/>
      <family val="2"/>
    </font>
    <font>
      <sz val="10"/>
      <name val="Calibri"/>
      <family val="2"/>
    </font>
    <font>
      <u/>
      <sz val="10"/>
      <color rgb="FF0070C0"/>
      <name val="Calibri"/>
      <family val="2"/>
    </font>
    <font>
      <sz val="10"/>
      <color rgb="FFFF0000"/>
      <name val="Calibri"/>
      <family val="2"/>
    </font>
    <font>
      <b/>
      <sz val="12"/>
      <color theme="1"/>
      <name val="Calibri"/>
      <family val="2"/>
    </font>
    <font>
      <b/>
      <sz val="11"/>
      <color rgb="FF002060"/>
      <name val="Calibri"/>
      <family val="2"/>
    </font>
    <font>
      <sz val="10"/>
      <color theme="1"/>
      <name val="Calibri"/>
      <family val="2"/>
      <scheme val="minor"/>
    </font>
    <font>
      <sz val="10"/>
      <color rgb="FF0070C0"/>
      <name val="Calibri"/>
      <family val="2"/>
    </font>
    <font>
      <sz val="12"/>
      <color rgb="FFC00000"/>
      <name val="Calibri"/>
      <family val="2"/>
    </font>
    <font>
      <u/>
      <sz val="10"/>
      <color rgb="FF1155CC"/>
      <name val="Calibri"/>
      <family val="2"/>
    </font>
    <font>
      <sz val="11"/>
      <color rgb="FFFF0000"/>
      <name val="Calibri"/>
      <family val="2"/>
    </font>
    <font>
      <u/>
      <sz val="10"/>
      <color rgb="FF0000FF"/>
      <name val="Arial"/>
      <family val="2"/>
    </font>
    <font>
      <b/>
      <sz val="10"/>
      <color theme="1"/>
      <name val="Calibri"/>
      <family val="2"/>
    </font>
    <font>
      <sz val="8"/>
      <color theme="1"/>
      <name val="Calibri"/>
      <family val="2"/>
    </font>
    <font>
      <strike/>
      <sz val="10"/>
      <color theme="1"/>
      <name val="Calibri"/>
      <family val="2"/>
    </font>
    <font>
      <strike/>
      <u/>
      <sz val="10"/>
      <color rgb="FF0000FF"/>
      <name val="Calibri"/>
      <family val="2"/>
    </font>
    <font>
      <b/>
      <strike/>
      <sz val="11"/>
      <color theme="1"/>
      <name val="Calibri"/>
      <family val="2"/>
    </font>
    <font>
      <b/>
      <sz val="12"/>
      <color theme="1"/>
      <name val="Calibri"/>
      <family val="2"/>
      <scheme val="minor"/>
    </font>
    <font>
      <sz val="1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theme="0"/>
        <bgColor rgb="FFF2F2F2"/>
      </patternFill>
    </fill>
    <fill>
      <patternFill patternType="solid">
        <fgColor rgb="FFCFE2F3"/>
        <bgColor rgb="FFCFE2F3"/>
      </patternFill>
    </fill>
    <fill>
      <patternFill patternType="solid">
        <fgColor rgb="FFDBE5F1"/>
        <bgColor rgb="FFDBE5F1"/>
      </patternFill>
    </fill>
    <fill>
      <patternFill patternType="solid">
        <fgColor theme="0"/>
        <bgColor rgb="FFEAF1DD"/>
      </patternFill>
    </fill>
    <fill>
      <patternFill patternType="solid">
        <fgColor rgb="FFEAF1DD"/>
        <bgColor rgb="FFEAF1DD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2">
    <xf numFmtId="0" fontId="0" fillId="0" borderId="0"/>
    <xf numFmtId="0" fontId="31" fillId="0" borderId="0"/>
  </cellStyleXfs>
  <cellXfs count="112">
    <xf numFmtId="0" fontId="0" fillId="0" borderId="0" xfId="0"/>
    <xf numFmtId="0" fontId="2" fillId="0" borderId="1" xfId="0" applyFont="1" applyBorder="1"/>
    <xf numFmtId="0" fontId="2" fillId="0" borderId="2" xfId="0" applyFont="1" applyBorder="1"/>
    <xf numFmtId="0" fontId="1" fillId="3" borderId="1" xfId="0" applyFont="1" applyFill="1" applyBorder="1" applyAlignment="1">
      <alignment horizontal="left" vertical="top" wrapText="1"/>
    </xf>
    <xf numFmtId="0" fontId="3" fillId="4" borderId="3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top" wrapText="1"/>
    </xf>
    <xf numFmtId="0" fontId="6" fillId="0" borderId="3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center" vertical="center" wrapText="1"/>
    </xf>
    <xf numFmtId="0" fontId="9" fillId="0" borderId="3" xfId="0" applyFont="1" applyBorder="1" applyAlignment="1">
      <alignment vertical="top" wrapText="1"/>
    </xf>
    <xf numFmtId="0" fontId="5" fillId="0" borderId="3" xfId="0" applyFont="1" applyBorder="1" applyAlignment="1">
      <alignment vertical="center"/>
    </xf>
    <xf numFmtId="0" fontId="11" fillId="5" borderId="3" xfId="0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horizontal="left" vertical="center" wrapText="1"/>
    </xf>
    <xf numFmtId="0" fontId="13" fillId="7" borderId="3" xfId="0" applyFont="1" applyFill="1" applyBorder="1" applyAlignment="1">
      <alignment horizontal="center" vertical="center" wrapText="1"/>
    </xf>
    <xf numFmtId="0" fontId="8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left" vertical="center" wrapText="1"/>
    </xf>
    <xf numFmtId="0" fontId="13" fillId="0" borderId="3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left" vertical="center" wrapText="1"/>
    </xf>
    <xf numFmtId="0" fontId="7" fillId="8" borderId="3" xfId="0" applyFont="1" applyFill="1" applyBorder="1" applyAlignment="1">
      <alignment vertical="center" wrapText="1"/>
    </xf>
    <xf numFmtId="0" fontId="8" fillId="8" borderId="3" xfId="0" applyFont="1" applyFill="1" applyBorder="1" applyAlignment="1">
      <alignment horizontal="left" vertical="center" wrapText="1"/>
    </xf>
    <xf numFmtId="0" fontId="5" fillId="5" borderId="5" xfId="0" applyFont="1" applyFill="1" applyBorder="1" applyAlignment="1">
      <alignment horizontal="left" vertical="center" wrapText="1"/>
    </xf>
    <xf numFmtId="0" fontId="5" fillId="5" borderId="6" xfId="0" applyFont="1" applyFill="1" applyBorder="1" applyAlignment="1">
      <alignment horizontal="left" vertical="center" wrapText="1"/>
    </xf>
    <xf numFmtId="0" fontId="14" fillId="6" borderId="3" xfId="0" applyFont="1" applyFill="1" applyBorder="1" applyAlignment="1">
      <alignment vertical="center" wrapText="1"/>
    </xf>
    <xf numFmtId="0" fontId="15" fillId="7" borderId="3" xfId="0" applyFont="1" applyFill="1" applyBorder="1" applyAlignment="1">
      <alignment horizontal="center" vertical="center" wrapText="1"/>
    </xf>
    <xf numFmtId="0" fontId="14" fillId="6" borderId="3" xfId="0" applyFont="1" applyFill="1" applyBorder="1" applyAlignment="1">
      <alignment horizontal="left" vertical="top" wrapText="1"/>
    </xf>
    <xf numFmtId="0" fontId="14" fillId="8" borderId="3" xfId="0" applyFont="1" applyFill="1" applyBorder="1" applyAlignment="1">
      <alignment horizontal="left" vertical="center" wrapText="1"/>
    </xf>
    <xf numFmtId="0" fontId="14" fillId="8" borderId="3" xfId="0" applyFont="1" applyFill="1" applyBorder="1" applyAlignment="1">
      <alignment horizontal="left" vertical="top" wrapText="1"/>
    </xf>
    <xf numFmtId="0" fontId="15" fillId="6" borderId="3" xfId="0" applyFont="1" applyFill="1" applyBorder="1" applyAlignment="1">
      <alignment horizontal="center" vertical="center" wrapText="1"/>
    </xf>
    <xf numFmtId="0" fontId="14" fillId="6" borderId="3" xfId="0" applyFont="1" applyFill="1" applyBorder="1" applyAlignment="1">
      <alignment horizontal="left" vertical="center" wrapText="1"/>
    </xf>
    <xf numFmtId="0" fontId="13" fillId="8" borderId="3" xfId="0" applyFont="1" applyFill="1" applyBorder="1" applyAlignment="1">
      <alignment horizontal="center" vertical="center" wrapText="1"/>
    </xf>
    <xf numFmtId="0" fontId="14" fillId="8" borderId="3" xfId="0" applyFont="1" applyFill="1" applyBorder="1" applyAlignment="1">
      <alignment vertical="center" wrapText="1"/>
    </xf>
    <xf numFmtId="0" fontId="9" fillId="0" borderId="3" xfId="0" applyFont="1" applyBorder="1" applyAlignment="1">
      <alignment vertical="center" wrapText="1"/>
    </xf>
    <xf numFmtId="0" fontId="7" fillId="0" borderId="3" xfId="0" applyFont="1" applyBorder="1" applyAlignment="1">
      <alignment vertical="center" wrapText="1"/>
    </xf>
    <xf numFmtId="0" fontId="8" fillId="0" borderId="3" xfId="0" applyFont="1" applyBorder="1" applyAlignment="1">
      <alignment horizontal="left" vertical="top" wrapText="1"/>
    </xf>
    <xf numFmtId="0" fontId="16" fillId="0" borderId="3" xfId="0" applyFont="1" applyBorder="1" applyAlignment="1">
      <alignment vertical="top" wrapText="1"/>
    </xf>
    <xf numFmtId="0" fontId="8" fillId="0" borderId="7" xfId="0" applyFont="1" applyBorder="1" applyAlignment="1">
      <alignment vertical="center" wrapText="1"/>
    </xf>
    <xf numFmtId="0" fontId="13" fillId="0" borderId="7" xfId="0" applyFont="1" applyBorder="1" applyAlignment="1">
      <alignment horizontal="center" vertical="center" wrapText="1"/>
    </xf>
    <xf numFmtId="0" fontId="19" fillId="0" borderId="0" xfId="0" applyFont="1" applyAlignment="1">
      <alignment wrapText="1"/>
    </xf>
    <xf numFmtId="0" fontId="20" fillId="0" borderId="3" xfId="0" applyFont="1" applyBorder="1" applyAlignment="1">
      <alignment horizontal="left" vertical="center" wrapText="1"/>
    </xf>
    <xf numFmtId="0" fontId="15" fillId="0" borderId="3" xfId="0" applyFont="1" applyBorder="1" applyAlignment="1">
      <alignment horizontal="center" vertical="center" wrapText="1"/>
    </xf>
    <xf numFmtId="0" fontId="21" fillId="0" borderId="3" xfId="0" applyFont="1" applyBorder="1" applyAlignment="1">
      <alignment vertical="top" wrapText="1"/>
    </xf>
    <xf numFmtId="0" fontId="8" fillId="0" borderId="8" xfId="0" applyFont="1" applyBorder="1" applyAlignment="1">
      <alignment horizontal="left" vertical="center" wrapText="1"/>
    </xf>
    <xf numFmtId="0" fontId="13" fillId="0" borderId="5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left" vertical="center" wrapText="1"/>
    </xf>
    <xf numFmtId="0" fontId="22" fillId="0" borderId="3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top" wrapText="1"/>
    </xf>
    <xf numFmtId="0" fontId="8" fillId="0" borderId="3" xfId="0" applyFont="1" applyBorder="1" applyAlignment="1">
      <alignment vertical="top" wrapText="1"/>
    </xf>
    <xf numFmtId="0" fontId="8" fillId="0" borderId="3" xfId="0" applyFont="1" applyBorder="1" applyAlignment="1">
      <alignment vertical="center" wrapText="1"/>
    </xf>
    <xf numFmtId="0" fontId="23" fillId="0" borderId="3" xfId="0" applyFont="1" applyBorder="1" applyAlignment="1">
      <alignment vertical="top" wrapText="1"/>
    </xf>
    <xf numFmtId="0" fontId="8" fillId="0" borderId="4" xfId="0" applyFont="1" applyBorder="1" applyAlignment="1">
      <alignment horizontal="left" vertical="center" wrapText="1"/>
    </xf>
    <xf numFmtId="0" fontId="24" fillId="0" borderId="3" xfId="0" applyFont="1" applyBorder="1" applyAlignment="1">
      <alignment horizontal="center" vertical="center" wrapText="1"/>
    </xf>
    <xf numFmtId="0" fontId="24" fillId="0" borderId="5" xfId="0" applyFont="1" applyBorder="1" applyAlignment="1">
      <alignment horizontal="center" vertical="center" wrapText="1"/>
    </xf>
    <xf numFmtId="0" fontId="8" fillId="9" borderId="3" xfId="0" applyFont="1" applyFill="1" applyBorder="1" applyAlignment="1">
      <alignment horizontal="left" vertical="center" wrapText="1"/>
    </xf>
    <xf numFmtId="0" fontId="22" fillId="9" borderId="3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9" fillId="9" borderId="3" xfId="0" applyFont="1" applyFill="1" applyBorder="1" applyAlignment="1">
      <alignment vertical="top" wrapText="1"/>
    </xf>
    <xf numFmtId="16" fontId="0" fillId="0" borderId="0" xfId="0" applyNumberFormat="1"/>
    <xf numFmtId="0" fontId="8" fillId="9" borderId="3" xfId="0" applyFont="1" applyFill="1" applyBorder="1" applyAlignment="1">
      <alignment horizontal="left" vertical="top" wrapText="1"/>
    </xf>
    <xf numFmtId="0" fontId="5" fillId="9" borderId="3" xfId="0" applyFont="1" applyFill="1" applyBorder="1" applyAlignment="1">
      <alignment vertical="center"/>
    </xf>
    <xf numFmtId="0" fontId="14" fillId="9" borderId="3" xfId="0" applyFont="1" applyFill="1" applyBorder="1" applyAlignment="1">
      <alignment horizontal="left" vertical="center" wrapText="1"/>
    </xf>
    <xf numFmtId="0" fontId="16" fillId="9" borderId="3" xfId="0" applyFont="1" applyFill="1" applyBorder="1" applyAlignment="1">
      <alignment horizontal="left" vertical="center" wrapText="1"/>
    </xf>
    <xf numFmtId="0" fontId="9" fillId="9" borderId="3" xfId="0" applyFont="1" applyFill="1" applyBorder="1" applyAlignment="1">
      <alignment vertical="center" wrapText="1"/>
    </xf>
    <xf numFmtId="0" fontId="7" fillId="9" borderId="3" xfId="0" applyFont="1" applyFill="1" applyBorder="1" applyAlignment="1">
      <alignment vertical="top" wrapText="1"/>
    </xf>
    <xf numFmtId="0" fontId="8" fillId="9" borderId="8" xfId="0" applyFont="1" applyFill="1" applyBorder="1" applyAlignment="1">
      <alignment vertical="center" wrapText="1"/>
    </xf>
    <xf numFmtId="0" fontId="13" fillId="9" borderId="8" xfId="0" applyFont="1" applyFill="1" applyBorder="1" applyAlignment="1">
      <alignment horizontal="center" vertical="center" wrapText="1"/>
    </xf>
    <xf numFmtId="0" fontId="8" fillId="9" borderId="6" xfId="0" applyFont="1" applyFill="1" applyBorder="1" applyAlignment="1">
      <alignment horizontal="left" vertical="center" wrapText="1"/>
    </xf>
    <xf numFmtId="16" fontId="23" fillId="10" borderId="3" xfId="0" applyNumberFormat="1" applyFont="1" applyFill="1" applyBorder="1" applyAlignment="1">
      <alignment vertical="top" wrapText="1"/>
    </xf>
    <xf numFmtId="0" fontId="5" fillId="10" borderId="3" xfId="0" applyFont="1" applyFill="1" applyBorder="1" applyAlignment="1">
      <alignment vertical="center"/>
    </xf>
    <xf numFmtId="0" fontId="26" fillId="0" borderId="3" xfId="0" applyFont="1" applyBorder="1" applyAlignment="1">
      <alignment vertical="top" wrapText="1"/>
    </xf>
    <xf numFmtId="15" fontId="26" fillId="11" borderId="3" xfId="0" applyNumberFormat="1" applyFont="1" applyFill="1" applyBorder="1" applyAlignment="1">
      <alignment vertical="top" wrapText="1"/>
    </xf>
    <xf numFmtId="0" fontId="5" fillId="11" borderId="3" xfId="0" applyFont="1" applyFill="1" applyBorder="1" applyAlignment="1">
      <alignment vertical="center"/>
    </xf>
    <xf numFmtId="0" fontId="27" fillId="9" borderId="3" xfId="0" applyFont="1" applyFill="1" applyBorder="1" applyAlignment="1">
      <alignment horizontal="left" vertical="center" wrapText="1"/>
    </xf>
    <xf numFmtId="0" fontId="28" fillId="9" borderId="3" xfId="0" applyFont="1" applyFill="1" applyBorder="1" applyAlignment="1">
      <alignment horizontal="center" vertical="center" wrapText="1"/>
    </xf>
    <xf numFmtId="0" fontId="27" fillId="9" borderId="3" xfId="0" applyFont="1" applyFill="1" applyBorder="1" applyAlignment="1">
      <alignment horizontal="center" vertical="center" wrapText="1"/>
    </xf>
    <xf numFmtId="0" fontId="29" fillId="9" borderId="3" xfId="0" applyFont="1" applyFill="1" applyBorder="1" applyAlignment="1">
      <alignment vertical="center"/>
    </xf>
    <xf numFmtId="15" fontId="26" fillId="0" borderId="3" xfId="0" applyNumberFormat="1" applyFont="1" applyBorder="1" applyAlignment="1">
      <alignment vertical="top" wrapText="1"/>
    </xf>
    <xf numFmtId="17" fontId="26" fillId="0" borderId="3" xfId="0" applyNumberFormat="1" applyFont="1" applyBorder="1" applyAlignment="1">
      <alignment vertical="top" wrapText="1"/>
    </xf>
    <xf numFmtId="0" fontId="9" fillId="12" borderId="3" xfId="0" applyFont="1" applyFill="1" applyBorder="1" applyAlignment="1">
      <alignment vertical="center" wrapText="1"/>
    </xf>
    <xf numFmtId="0" fontId="9" fillId="0" borderId="8" xfId="0" applyFont="1" applyBorder="1" applyAlignment="1">
      <alignment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/>
    </xf>
    <xf numFmtId="0" fontId="9" fillId="0" borderId="8" xfId="0" applyFont="1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8" xfId="0" applyBorder="1"/>
    <xf numFmtId="16" fontId="0" fillId="0" borderId="8" xfId="0" applyNumberFormat="1" applyBorder="1"/>
    <xf numFmtId="0" fontId="14" fillId="8" borderId="8" xfId="1" applyFont="1" applyFill="1" applyBorder="1" applyAlignment="1" applyProtection="1">
      <alignment horizontal="left" vertical="top" wrapText="1"/>
      <protection locked="0"/>
    </xf>
    <xf numFmtId="0" fontId="0" fillId="0" borderId="8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13" borderId="3" xfId="0" applyFont="1" applyFill="1" applyBorder="1" applyAlignment="1">
      <alignment vertical="center"/>
    </xf>
    <xf numFmtId="16" fontId="9" fillId="0" borderId="3" xfId="0" applyNumberFormat="1" applyFont="1" applyBorder="1" applyAlignment="1">
      <alignment vertical="top" wrapText="1"/>
    </xf>
    <xf numFmtId="0" fontId="9" fillId="14" borderId="3" xfId="0" applyFont="1" applyFill="1" applyBorder="1" applyAlignment="1">
      <alignment vertical="top" wrapText="1"/>
    </xf>
    <xf numFmtId="0" fontId="5" fillId="14" borderId="3" xfId="0" applyFont="1" applyFill="1" applyBorder="1" applyAlignment="1">
      <alignment vertical="center"/>
    </xf>
    <xf numFmtId="0" fontId="9" fillId="12" borderId="3" xfId="0" applyFont="1" applyFill="1" applyBorder="1" applyAlignment="1">
      <alignment vertical="top" wrapText="1"/>
    </xf>
    <xf numFmtId="0" fontId="5" fillId="8" borderId="3" xfId="0" applyFont="1" applyFill="1" applyBorder="1" applyAlignment="1">
      <alignment vertical="center"/>
    </xf>
    <xf numFmtId="0" fontId="18" fillId="5" borderId="4" xfId="0" applyFont="1" applyFill="1" applyBorder="1" applyAlignment="1">
      <alignment horizontal="left" vertical="center" wrapText="1"/>
    </xf>
    <xf numFmtId="0" fontId="12" fillId="5" borderId="4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left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2" fillId="5" borderId="5" xfId="0" applyFont="1" applyFill="1" applyBorder="1" applyAlignment="1">
      <alignment horizontal="left" vertical="center" wrapText="1"/>
    </xf>
    <xf numFmtId="0" fontId="12" fillId="5" borderId="6" xfId="0" applyFont="1" applyFill="1" applyBorder="1" applyAlignment="1">
      <alignment horizontal="left" vertical="center" wrapText="1"/>
    </xf>
    <xf numFmtId="0" fontId="5" fillId="5" borderId="4" xfId="0" applyFont="1" applyFill="1" applyBorder="1" applyAlignment="1">
      <alignment horizontal="left" vertical="center" wrapText="1"/>
    </xf>
    <xf numFmtId="0" fontId="17" fillId="5" borderId="9" xfId="0" applyFont="1" applyFill="1" applyBorder="1" applyAlignment="1">
      <alignment horizontal="left" vertical="center" wrapText="1"/>
    </xf>
    <xf numFmtId="0" fontId="30" fillId="13" borderId="8" xfId="0" applyFont="1" applyFill="1" applyBorder="1" applyAlignment="1">
      <alignment horizontal="center"/>
    </xf>
    <xf numFmtId="0" fontId="2" fillId="0" borderId="1" xfId="0" applyFont="1" applyBorder="1" applyAlignment="1"/>
    <xf numFmtId="0" fontId="2" fillId="0" borderId="2" xfId="0" applyFont="1" applyBorder="1" applyAlignment="1"/>
    <xf numFmtId="0" fontId="2" fillId="0" borderId="5" xfId="0" applyFont="1" applyBorder="1" applyAlignment="1"/>
    <xf numFmtId="0" fontId="2" fillId="0" borderId="6" xfId="0" applyFont="1" applyBorder="1" applyAlignment="1"/>
  </cellXfs>
  <cellStyles count="2">
    <cellStyle name="Normal" xfId="0" builtinId="0"/>
    <cellStyle name="Normal 10 2" xfId="1" xr:uid="{70CD0BD1-04EE-450E-B9A1-221D19C5C295}"/>
  </cellStyles>
  <dxfs count="368"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6FA8DC"/>
      </font>
      <fill>
        <patternFill patternType="solid">
          <fgColor rgb="FFF3F3F3"/>
          <bgColor rgb="FFF3F3F3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6FA8DC"/>
      </font>
      <fill>
        <patternFill patternType="solid">
          <fgColor rgb="FFF3F3F3"/>
          <bgColor rgb="FFF3F3F3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6FA8DC"/>
      </font>
      <fill>
        <patternFill patternType="solid">
          <fgColor rgb="FFF3F3F3"/>
          <bgColor rgb="FFF3F3F3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6FA8DC"/>
      </font>
      <fill>
        <patternFill patternType="solid">
          <fgColor rgb="FFF3F3F3"/>
          <bgColor rgb="FFF3F3F3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6FA8DC"/>
      </font>
      <fill>
        <patternFill patternType="solid">
          <fgColor rgb="FFF3F3F3"/>
          <bgColor rgb="FFF3F3F3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6FA8DC"/>
      </font>
      <fill>
        <patternFill patternType="solid">
          <fgColor rgb="FFF3F3F3"/>
          <bgColor rgb="FFF3F3F3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6FA8DC"/>
      </font>
      <fill>
        <patternFill patternType="solid">
          <fgColor rgb="FFF3F3F3"/>
          <bgColor rgb="FFF3F3F3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6FA8DC"/>
      </font>
      <fill>
        <patternFill patternType="solid">
          <fgColor rgb="FFF3F3F3"/>
          <bgColor rgb="FFF3F3F3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6FA8DC"/>
      </font>
      <fill>
        <patternFill patternType="solid">
          <fgColor rgb="FFF3F3F3"/>
          <bgColor rgb="FFF3F3F3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6FA8DC"/>
      </font>
      <fill>
        <patternFill patternType="solid">
          <fgColor rgb="FFF3F3F3"/>
          <bgColor rgb="FFF3F3F3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6FA8DC"/>
      </font>
      <fill>
        <patternFill patternType="solid">
          <fgColor rgb="FFF3F3F3"/>
          <bgColor rgb="FFF3F3F3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6FA8DC"/>
      </font>
      <fill>
        <patternFill patternType="solid">
          <fgColor rgb="FFF3F3F3"/>
          <bgColor rgb="FFF3F3F3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6FA8DC"/>
      </font>
      <fill>
        <patternFill patternType="solid">
          <fgColor rgb="FFF3F3F3"/>
          <bgColor rgb="FFF3F3F3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6FA8DC"/>
      </font>
      <fill>
        <patternFill patternType="solid">
          <fgColor rgb="FFF3F3F3"/>
          <bgColor rgb="FFF3F3F3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6FA8DC"/>
      </font>
      <fill>
        <patternFill patternType="solid">
          <fgColor rgb="FFF3F3F3"/>
          <bgColor rgb="FFF3F3F3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6FA8DC"/>
      </font>
      <fill>
        <patternFill patternType="solid">
          <fgColor rgb="FFF3F3F3"/>
          <bgColor rgb="FFF3F3F3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6FA8DC"/>
      </font>
      <fill>
        <patternFill patternType="solid">
          <fgColor rgb="FFF3F3F3"/>
          <bgColor rgb="FFF3F3F3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6FA8DC"/>
      </font>
      <fill>
        <patternFill patternType="solid">
          <fgColor rgb="FFF3F3F3"/>
          <bgColor rgb="FFF3F3F3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6FA8DC"/>
      </font>
      <fill>
        <patternFill patternType="solid">
          <fgColor rgb="FFF3F3F3"/>
          <bgColor rgb="FFF3F3F3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6FA8DC"/>
      </font>
      <fill>
        <patternFill patternType="solid">
          <fgColor rgb="FFF3F3F3"/>
          <bgColor rgb="FFF3F3F3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6FA8DC"/>
      </font>
      <fill>
        <patternFill patternType="solid">
          <fgColor rgb="FFF3F3F3"/>
          <bgColor rgb="FFF3F3F3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6FA8DC"/>
      </font>
      <fill>
        <patternFill patternType="solid">
          <fgColor rgb="FFF3F3F3"/>
          <bgColor rgb="FFF3F3F3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6FA8DC"/>
      </font>
      <fill>
        <patternFill patternType="solid">
          <fgColor rgb="FFF3F3F3"/>
          <bgColor rgb="FFF3F3F3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6FA8DC"/>
      </font>
      <fill>
        <patternFill patternType="solid">
          <fgColor rgb="FFF3F3F3"/>
          <bgColor rgb="FFF3F3F3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6FA8DC"/>
      </font>
      <fill>
        <patternFill patternType="solid">
          <fgColor rgb="FFF3F3F3"/>
          <bgColor rgb="FFF3F3F3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6FA8DC"/>
      </font>
      <fill>
        <patternFill patternType="solid">
          <fgColor rgb="FFF3F3F3"/>
          <bgColor rgb="FFF3F3F3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6FA8DC"/>
      </font>
      <fill>
        <patternFill patternType="solid">
          <fgColor rgb="FFF3F3F3"/>
          <bgColor rgb="FFF3F3F3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6FA8DC"/>
      </font>
      <fill>
        <patternFill patternType="solid">
          <fgColor rgb="FFF3F3F3"/>
          <bgColor rgb="FFF3F3F3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6FA8DC"/>
      </font>
      <fill>
        <patternFill patternType="solid">
          <fgColor rgb="FFF3F3F3"/>
          <bgColor rgb="FFF3F3F3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6FA8DC"/>
      </font>
      <fill>
        <patternFill patternType="solid">
          <fgColor rgb="FFF3F3F3"/>
          <bgColor rgb="FFF3F3F3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6FA8DC"/>
      </font>
      <fill>
        <patternFill patternType="solid">
          <fgColor rgb="FFF3F3F3"/>
          <bgColor rgb="FFF3F3F3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6FA8DC"/>
      </font>
      <fill>
        <patternFill patternType="solid">
          <fgColor rgb="FFF3F3F3"/>
          <bgColor rgb="FFF3F3F3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6FA8DC"/>
      </font>
      <fill>
        <patternFill patternType="solid">
          <fgColor rgb="FFF3F3F3"/>
          <bgColor rgb="FFF3F3F3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6FA8DC"/>
      </font>
      <fill>
        <patternFill patternType="solid">
          <fgColor rgb="FFF3F3F3"/>
          <bgColor rgb="FFF3F3F3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6FA8DC"/>
      </font>
      <fill>
        <patternFill patternType="solid">
          <fgColor rgb="FFF3F3F3"/>
          <bgColor rgb="FFF3F3F3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6FA8DC"/>
      </font>
      <fill>
        <patternFill patternType="solid">
          <fgColor rgb="FFF3F3F3"/>
          <bgColor rgb="FFF3F3F3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6FA8DC"/>
      </font>
      <fill>
        <patternFill patternType="solid">
          <fgColor rgb="FFF3F3F3"/>
          <bgColor rgb="FFF3F3F3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6FA8DC"/>
      </font>
      <fill>
        <patternFill patternType="solid">
          <fgColor rgb="FFF3F3F3"/>
          <bgColor rgb="FFF3F3F3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6FA8DC"/>
      </font>
      <fill>
        <patternFill patternType="solid">
          <fgColor rgb="FFF3F3F3"/>
          <bgColor rgb="FFF3F3F3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6FA8DC"/>
      </font>
      <fill>
        <patternFill patternType="solid">
          <fgColor rgb="FFF3F3F3"/>
          <bgColor rgb="FFF3F3F3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6FA8DC"/>
      </font>
      <fill>
        <patternFill patternType="solid">
          <fgColor rgb="FFF3F3F3"/>
          <bgColor rgb="FFF3F3F3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6FA8DC"/>
      </font>
      <fill>
        <patternFill patternType="solid">
          <fgColor rgb="FFF3F3F3"/>
          <bgColor rgb="FFF3F3F3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6FA8DC"/>
      </font>
      <fill>
        <patternFill patternType="solid">
          <fgColor rgb="FFF3F3F3"/>
          <bgColor rgb="FFF3F3F3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6FA8DC"/>
      </font>
      <fill>
        <patternFill patternType="solid">
          <fgColor rgb="FFF3F3F3"/>
          <bgColor rgb="FFF3F3F3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6FA8DC"/>
      </font>
      <fill>
        <patternFill patternType="solid">
          <fgColor rgb="FFF3F3F3"/>
          <bgColor rgb="FFF3F3F3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6FA8DC"/>
      </font>
      <fill>
        <patternFill patternType="solid">
          <fgColor rgb="FFF3F3F3"/>
          <bgColor rgb="FFF3F3F3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6FA8DC"/>
      </font>
      <fill>
        <patternFill patternType="solid">
          <fgColor rgb="FFF3F3F3"/>
          <bgColor rgb="FFF3F3F3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6FA8DC"/>
      </font>
      <fill>
        <patternFill patternType="solid">
          <fgColor rgb="FFF3F3F3"/>
          <bgColor rgb="FFF3F3F3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6FA8DC"/>
      </font>
      <fill>
        <patternFill patternType="solid">
          <fgColor rgb="FFF3F3F3"/>
          <bgColor rgb="FFF3F3F3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6FA8DC"/>
      </font>
      <fill>
        <patternFill patternType="solid">
          <fgColor rgb="FFF3F3F3"/>
          <bgColor rgb="FFF3F3F3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6FA8DC"/>
      </font>
      <fill>
        <patternFill patternType="solid">
          <fgColor rgb="FFF3F3F3"/>
          <bgColor rgb="FFF3F3F3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6FA8DC"/>
      </font>
      <fill>
        <patternFill patternType="solid">
          <fgColor rgb="FFF3F3F3"/>
          <bgColor rgb="FFF3F3F3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6FA8DC"/>
      </font>
      <fill>
        <patternFill patternType="solid">
          <fgColor rgb="FFF3F3F3"/>
          <bgColor rgb="FFF3F3F3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6FA8DC"/>
      </font>
      <fill>
        <patternFill patternType="solid">
          <fgColor rgb="FFF3F3F3"/>
          <bgColor rgb="FFF3F3F3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6FA8DC"/>
      </font>
      <fill>
        <patternFill patternType="solid">
          <fgColor rgb="FFF3F3F3"/>
          <bgColor rgb="FFF3F3F3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6FA8DC"/>
      </font>
      <fill>
        <patternFill patternType="solid">
          <fgColor rgb="FFF3F3F3"/>
          <bgColor rgb="FFF3F3F3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6FA8DC"/>
      </font>
      <fill>
        <patternFill patternType="solid">
          <fgColor rgb="FFF3F3F3"/>
          <bgColor rgb="FFF3F3F3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6FA8DC"/>
      </font>
      <fill>
        <patternFill patternType="solid">
          <fgColor rgb="FFF3F3F3"/>
          <bgColor rgb="FFF3F3F3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6FA8DC"/>
      </font>
      <fill>
        <patternFill patternType="solid">
          <fgColor rgb="FFF3F3F3"/>
          <bgColor rgb="FFF3F3F3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6FA8DC"/>
      </font>
      <fill>
        <patternFill patternType="solid">
          <fgColor rgb="FFF3F3F3"/>
          <bgColor rgb="FFF3F3F3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6FA8DC"/>
      </font>
      <fill>
        <patternFill patternType="solid">
          <fgColor rgb="FFF3F3F3"/>
          <bgColor rgb="FFF3F3F3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6FA8DC"/>
      </font>
      <fill>
        <patternFill patternType="solid">
          <fgColor rgb="FFF3F3F3"/>
          <bgColor rgb="FFF3F3F3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6FA8DC"/>
      </font>
      <fill>
        <patternFill patternType="solid">
          <fgColor rgb="FFF3F3F3"/>
          <bgColor rgb="FFF3F3F3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6FA8DC"/>
      </font>
      <fill>
        <patternFill patternType="solid">
          <fgColor rgb="FFF3F3F3"/>
          <bgColor rgb="FFF3F3F3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6FA8DC"/>
      </font>
      <fill>
        <patternFill patternType="solid">
          <fgColor rgb="FFF3F3F3"/>
          <bgColor rgb="FFF3F3F3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6FA8DC"/>
      </font>
      <fill>
        <patternFill patternType="solid">
          <fgColor rgb="FFF3F3F3"/>
          <bgColor rgb="FFF3F3F3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6FA8DC"/>
      </font>
      <fill>
        <patternFill patternType="solid">
          <fgColor rgb="FFF3F3F3"/>
          <bgColor rgb="FFF3F3F3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6FA8DC"/>
      </font>
      <fill>
        <patternFill patternType="solid">
          <fgColor rgb="FFF3F3F3"/>
          <bgColor rgb="FFF3F3F3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6FA8DC"/>
      </font>
      <fill>
        <patternFill patternType="solid">
          <fgColor rgb="FFF3F3F3"/>
          <bgColor rgb="FFF3F3F3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6FA8DC"/>
      </font>
      <fill>
        <patternFill patternType="solid">
          <fgColor rgb="FFF3F3F3"/>
          <bgColor rgb="FFF3F3F3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6FA8DC"/>
      </font>
      <fill>
        <patternFill patternType="solid">
          <fgColor rgb="FFF3F3F3"/>
          <bgColor rgb="FFF3F3F3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6FA8DC"/>
      </font>
      <fill>
        <patternFill patternType="solid">
          <fgColor rgb="FFF3F3F3"/>
          <bgColor rgb="FFF3F3F3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6FA8DC"/>
      </font>
      <fill>
        <patternFill patternType="solid">
          <fgColor rgb="FFF3F3F3"/>
          <bgColor rgb="FFF3F3F3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6FA8DC"/>
      </font>
      <fill>
        <patternFill patternType="solid">
          <fgColor rgb="FFF3F3F3"/>
          <bgColor rgb="FFF3F3F3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6FA8DC"/>
      </font>
      <fill>
        <patternFill patternType="solid">
          <fgColor rgb="FFF3F3F3"/>
          <bgColor rgb="FFF3F3F3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6FA8DC"/>
      </font>
      <fill>
        <patternFill patternType="solid">
          <fgColor rgb="FFF3F3F3"/>
          <bgColor rgb="FFF3F3F3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6FA8DC"/>
      </font>
      <fill>
        <patternFill patternType="solid">
          <fgColor rgb="FFF3F3F3"/>
          <bgColor rgb="FFF3F3F3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6FA8DC"/>
      </font>
      <fill>
        <patternFill patternType="solid">
          <fgColor rgb="FFF3F3F3"/>
          <bgColor rgb="FFF3F3F3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6FA8DC"/>
      </font>
      <fill>
        <patternFill patternType="solid">
          <fgColor rgb="FFF3F3F3"/>
          <bgColor rgb="FFF3F3F3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6FA8DC"/>
      </font>
      <fill>
        <patternFill patternType="solid">
          <fgColor rgb="FFF3F3F3"/>
          <bgColor rgb="FFF3F3F3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6FA8DC"/>
      </font>
      <fill>
        <patternFill patternType="solid">
          <fgColor rgb="FFF3F3F3"/>
          <bgColor rgb="FFF3F3F3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6FA8DC"/>
      </font>
      <fill>
        <patternFill patternType="solid">
          <fgColor rgb="FFF3F3F3"/>
          <bgColor rgb="FFF3F3F3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6FA8DC"/>
      </font>
      <fill>
        <patternFill patternType="solid">
          <fgColor rgb="FFF3F3F3"/>
          <bgColor rgb="FFF3F3F3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6FA8DC"/>
      </font>
      <fill>
        <patternFill patternType="solid">
          <fgColor rgb="FFF3F3F3"/>
          <bgColor rgb="FFF3F3F3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6FA8DC"/>
      </font>
      <fill>
        <patternFill patternType="solid">
          <fgColor rgb="FFF3F3F3"/>
          <bgColor rgb="FFF3F3F3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6FA8DC"/>
      </font>
      <fill>
        <patternFill patternType="solid">
          <fgColor rgb="FFF3F3F3"/>
          <bgColor rgb="FFF3F3F3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6FA8DC"/>
      </font>
      <fill>
        <patternFill patternType="solid">
          <fgColor rgb="FFF3F3F3"/>
          <bgColor rgb="FFF3F3F3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6FA8DC"/>
      </font>
      <fill>
        <patternFill patternType="solid">
          <fgColor rgb="FFF3F3F3"/>
          <bgColor rgb="FFF3F3F3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6FA8DC"/>
      </font>
      <fill>
        <patternFill patternType="solid">
          <fgColor rgb="FFF3F3F3"/>
          <bgColor rgb="FFF3F3F3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6FA8DC"/>
      </font>
      <fill>
        <patternFill patternType="solid">
          <fgColor rgb="FFF3F3F3"/>
          <bgColor rgb="FFF3F3F3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6FA8DC"/>
      </font>
      <fill>
        <patternFill patternType="solid">
          <fgColor rgb="FFF3F3F3"/>
          <bgColor rgb="FFF3F3F3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6FA8DC"/>
      </font>
      <fill>
        <patternFill patternType="solid">
          <fgColor rgb="FFF3F3F3"/>
          <bgColor rgb="FFF3F3F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5" Type="http://schemas.openxmlformats.org/officeDocument/2006/relationships/customXml" Target="../customXml/item1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URRENT%20PROJECTS\Delmar%20Foods\Records\Records%20DF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alerno%20Records%201-90%20July%2024,%20201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R\Desktop\FTC\Canadian%20Meats\CM%20July%2015%20to%20be%20uploaded\Customer%20Complaint%20Log%20and%20Trends.xlsx" TargetMode="External"/></Relationships>
</file>

<file path=xl/externalLinks/_rels/externalLink4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Users/Siva/Downloads/Records%20-TCM-Oct%202024(2).xlsx" TargetMode="External"/><Relationship Id="rId2" Type="http://schemas.openxmlformats.org/officeDocument/2006/relationships/externalLinkPath" Target="file:///C:\Users\Siva\Downloads\Records%20-TCM-Oct%202024(2).xlsx" TargetMode="External"/><Relationship Id="rId1" Type="http://schemas.openxmlformats.org/officeDocument/2006/relationships/externalLinkPath" Target="/Users/Siva/Downloads/Records%20-TCM-Oct%202024(2)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Dejan/Downloads/Records(up%20to# 60) (1).xlsm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URRENT%20PROJECTS\Bright%20Cheese%20BRC%20Program\Records\Records%20Bright%20Cheese%20NEW.xls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URRENT%20PROJECTS\Bright%20Cheese%20BRC%20Program\Records\Records%20Bright%20Cheese%20NEW.xlsm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R\Desktop\FTC\Canadian%20Meats\CM%20July%2015%20to%20be%20uploaded\Records%20CM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 of Records"/>
      <sheetName val="RC-1"/>
      <sheetName val="RC-2"/>
      <sheetName val="RC-3"/>
      <sheetName val="RC-4"/>
      <sheetName val="RC-5A"/>
      <sheetName val="RC-5B"/>
      <sheetName val="RC-6"/>
      <sheetName val="RC-7"/>
      <sheetName val="RC-8"/>
      <sheetName val="RC-9"/>
      <sheetName val="RC-10"/>
      <sheetName val="RC-11"/>
      <sheetName val="RC-12"/>
      <sheetName val="RC-13A"/>
      <sheetName val="RC-13B"/>
      <sheetName val="RC-13C"/>
      <sheetName val="RC-13D"/>
      <sheetName val="RC-13E"/>
      <sheetName val="RC-14"/>
      <sheetName val="RC-15"/>
      <sheetName val="R-23"/>
      <sheetName val="R-25"/>
      <sheetName val="RC-16"/>
      <sheetName val="RC-17"/>
      <sheetName val="RC-18"/>
      <sheetName val="RC-19"/>
      <sheetName val="RC-20"/>
      <sheetName val="RC-21"/>
      <sheetName val="RC-22"/>
      <sheetName val="RC-23"/>
      <sheetName val="RC-24"/>
      <sheetName val="RC-25"/>
      <sheetName val="RC-26"/>
      <sheetName val="RC-27"/>
      <sheetName val="RC-28"/>
      <sheetName val="RC-29"/>
      <sheetName val="RC-30A"/>
      <sheetName val="RC-30B"/>
      <sheetName val="RC-31"/>
      <sheetName val="RC-32"/>
      <sheetName val="RC-33"/>
      <sheetName val="RC-34"/>
      <sheetName val="RC-35"/>
      <sheetName val="RC-36"/>
      <sheetName val="RC-37"/>
      <sheetName val="RC-38"/>
      <sheetName val="RC-39"/>
      <sheetName val="RC-40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cument Index "/>
      <sheetName val="Specification Index"/>
      <sheetName val="RC-01"/>
      <sheetName val="RC-02 "/>
      <sheetName val="RC-03 "/>
      <sheetName val="RC-04 "/>
      <sheetName val="RC-05 "/>
      <sheetName val="RC-06 "/>
      <sheetName val="RC-007 "/>
      <sheetName val="RC-08"/>
      <sheetName val="RC-09"/>
      <sheetName val="RC-10 "/>
      <sheetName val="RC-11"/>
      <sheetName val="RC-012"/>
      <sheetName val="RC-13"/>
      <sheetName val="RC-14 "/>
      <sheetName val="RC-15"/>
      <sheetName val="RC-16"/>
      <sheetName val="RC-17"/>
      <sheetName val="RC-18"/>
      <sheetName val="RC-19 "/>
      <sheetName val="RC-20 "/>
      <sheetName val="RC-21"/>
      <sheetName val="RC-22"/>
      <sheetName val="RC-23"/>
      <sheetName val="RC-24"/>
      <sheetName val="RC-25 "/>
      <sheetName val="RC-26"/>
      <sheetName val="RC-27"/>
      <sheetName val="RC-28"/>
      <sheetName val="RC-29"/>
      <sheetName val="RC-30"/>
      <sheetName val="RC-31"/>
      <sheetName val="RC- 31"/>
      <sheetName val="RC-32"/>
      <sheetName val="RC-33"/>
      <sheetName val="RC-35"/>
      <sheetName val="RC-37"/>
      <sheetName val="RC-38"/>
      <sheetName val="RC-39"/>
      <sheetName val="RC-40"/>
      <sheetName val="RC-41 "/>
      <sheetName val="RC- 42"/>
      <sheetName val="RC-43"/>
      <sheetName val="RC-44"/>
      <sheetName val="RC-45"/>
      <sheetName val="RC-46"/>
      <sheetName val="RC 46 A"/>
      <sheetName val="RC-46 B"/>
      <sheetName val="RC-46 C"/>
      <sheetName val="RC-47 "/>
      <sheetName val="RC-48 "/>
      <sheetName val="RC-49"/>
      <sheetName val="RC-50 FRONT"/>
      <sheetName val="RC-50 BACK"/>
      <sheetName val="RC-51"/>
      <sheetName val=" RC-52"/>
      <sheetName val="RC-53"/>
      <sheetName val="RC-54"/>
      <sheetName val="RC-55 "/>
      <sheetName val="RC-56"/>
      <sheetName val="RC-57"/>
      <sheetName val="RC-58 "/>
      <sheetName val="old RC-59 "/>
      <sheetName val="RC-59"/>
      <sheetName val="RC-60"/>
      <sheetName val="RC-61"/>
      <sheetName val="RC-62"/>
      <sheetName val="RC-63"/>
      <sheetName val="RC-64"/>
      <sheetName val="RC-65"/>
      <sheetName val="RC-66"/>
      <sheetName val="RC-67"/>
      <sheetName val="RC-68"/>
      <sheetName val="RC-69"/>
      <sheetName val="RC-70"/>
      <sheetName val="RC-71"/>
      <sheetName val="RC-72"/>
      <sheetName val="RC-72old"/>
      <sheetName val="RC-73"/>
      <sheetName val="RC-74"/>
      <sheetName val="RC-75"/>
      <sheetName val="RC-CCP-76"/>
      <sheetName val="RC-CCP-77"/>
      <sheetName val="RC-CCP-78"/>
      <sheetName val="RC-CCP-79"/>
      <sheetName val="RC-CCP-80"/>
      <sheetName val="RC-CCP-81"/>
      <sheetName val="RC-CCP-82"/>
      <sheetName val="RC-CCP-83"/>
      <sheetName val="RC-CCP-84"/>
      <sheetName val="RC-85"/>
      <sheetName val="RC-86"/>
      <sheetName val="RC-87"/>
      <sheetName val="RC-88"/>
      <sheetName val="RC-89"/>
      <sheetName val="RC-90"/>
      <sheetName val="Use other Record binder"/>
      <sheetName val="RC-07 "/>
      <sheetName val="RC-1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C-32"/>
      <sheetName val="Chart1"/>
      <sheetName val="Sheet3"/>
      <sheetName val="Sheet1"/>
      <sheetName val="Customer Complaint Log and Tren"/>
    </sheetNames>
    <sheetDataSet>
      <sheetData sheetId="0" refreshError="1"/>
      <sheetData sheetId="1" refreshError="1"/>
      <sheetData sheetId="2" refreshError="1"/>
      <sheetData sheetId="3"/>
      <sheetData sheetId="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Verification Schedule"/>
      <sheetName val="List of Records"/>
      <sheetName val="RC-1"/>
      <sheetName val="RC-1A"/>
      <sheetName val="RC-2"/>
      <sheetName val="RC-2 A"/>
      <sheetName val="RC-3"/>
      <sheetName val="RC-4"/>
      <sheetName val="RC-4 A"/>
      <sheetName val="RC-5"/>
      <sheetName val="RC-6"/>
      <sheetName val="RC-7"/>
      <sheetName val="RC-8A"/>
      <sheetName val="RC-8B"/>
      <sheetName val="RC-9"/>
      <sheetName val="RC-11"/>
      <sheetName val="RC-12"/>
      <sheetName val="RC-12B"/>
      <sheetName val="RC-13"/>
      <sheetName val="RC-13B"/>
      <sheetName val="RC-14"/>
      <sheetName val="RC-15"/>
      <sheetName val="RC-16A"/>
      <sheetName val="RC-16B"/>
      <sheetName val="RC-16C"/>
      <sheetName val="RC-16D"/>
      <sheetName val="RC-17"/>
      <sheetName val="RC-17A"/>
      <sheetName val="RC-18  Annual Training ONLY"/>
      <sheetName val="RC-18A-Group Training"/>
      <sheetName val="  RC-18B-Enforcement"/>
      <sheetName val="RC-19"/>
      <sheetName val="RC-20"/>
      <sheetName val="RC-21"/>
      <sheetName val="RC-22"/>
      <sheetName val="RC-22A"/>
      <sheetName val="RC-23"/>
      <sheetName val="RC-23 A Outside Contractor"/>
      <sheetName val="RC-24- template"/>
      <sheetName val="RC-25"/>
      <sheetName val="RC-26"/>
      <sheetName val="RC-27"/>
      <sheetName val="RC-28"/>
      <sheetName val="RC-29"/>
      <sheetName val="RC-30"/>
      <sheetName val="RC-31"/>
      <sheetName val="RC-32"/>
      <sheetName val="RC-33"/>
      <sheetName val="RC-34"/>
      <sheetName val="RC-36"/>
      <sheetName val="RC-37"/>
      <sheetName val="RC-38"/>
      <sheetName val="RC-39"/>
      <sheetName val=" RC-40A"/>
      <sheetName val="RC-40B"/>
      <sheetName val="RC-41"/>
      <sheetName val="RC-42A"/>
      <sheetName val="RC-42B"/>
      <sheetName val="RC-42C"/>
      <sheetName val="RC-43"/>
      <sheetName val="RC-44"/>
      <sheetName val="RC-45"/>
      <sheetName val="RC-47"/>
      <sheetName val="RC-48 "/>
      <sheetName val="RC-49A"/>
      <sheetName val="RC-49B"/>
      <sheetName val="RC-50A"/>
      <sheetName val="RC-50B"/>
      <sheetName val="Chart1"/>
      <sheetName val="RC-50C"/>
      <sheetName val="RC-51"/>
      <sheetName val="RC-52"/>
      <sheetName val="RC-53"/>
      <sheetName val="RC-55"/>
      <sheetName val="RC-57"/>
      <sheetName val="RC-58"/>
      <sheetName val="RC-59- Blank"/>
      <sheetName val="RC-60-blank"/>
      <sheetName val="RC-64"/>
      <sheetName val="RC-66"/>
      <sheetName val="RC-67"/>
      <sheetName val="RC-68"/>
      <sheetName val="RC-69"/>
      <sheetName val="RC-74"/>
      <sheetName val="RC-75"/>
      <sheetName val="RC-76"/>
      <sheetName val="RC-77"/>
      <sheetName val="RC-78"/>
      <sheetName val="RC-79 "/>
      <sheetName val="RC-80"/>
      <sheetName val="RC-81"/>
      <sheetName val="RC-82"/>
      <sheetName val="RC-83"/>
      <sheetName val="RC-84"/>
      <sheetName val="RC-85"/>
      <sheetName val="RC-86-WIP"/>
      <sheetName val="RC-86"/>
      <sheetName val="RC-87 "/>
      <sheetName val="RC- 88"/>
      <sheetName val="RC-89"/>
      <sheetName val="RC-90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nder index  2014"/>
      <sheetName val="Document index "/>
      <sheetName val="Specification Index"/>
      <sheetName val="RC-01"/>
      <sheetName val="RC-02"/>
      <sheetName val="RC-03"/>
      <sheetName val="RC-04"/>
      <sheetName val="RC-05"/>
      <sheetName val="RC-07"/>
      <sheetName val="RC-08"/>
      <sheetName val="RC-09"/>
      <sheetName val="RC-10"/>
      <sheetName val="RC-11"/>
      <sheetName val="RC-12"/>
      <sheetName val="RC-13"/>
      <sheetName val="RC-14A"/>
      <sheetName val="RC-14B"/>
      <sheetName val="RC-14C"/>
      <sheetName val="RC-15"/>
      <sheetName val="RC-16"/>
      <sheetName val="RC-17"/>
      <sheetName val="RC-18"/>
      <sheetName val="RC-19"/>
      <sheetName val="RC-20"/>
      <sheetName val="RC-21"/>
      <sheetName val="RC-22"/>
      <sheetName val="RC-23"/>
      <sheetName val="RC-24"/>
      <sheetName val="RC-25"/>
      <sheetName val="RC-26"/>
      <sheetName val="RC-27"/>
      <sheetName val="RC-29"/>
      <sheetName val="RC-30"/>
      <sheetName val="RC-31"/>
      <sheetName val="RC-32"/>
      <sheetName val="RC-33"/>
      <sheetName val="RC-34"/>
      <sheetName val=" RC-37 Obsolete"/>
      <sheetName val="RC-38 Obsolete"/>
      <sheetName val="RC-39"/>
      <sheetName val="RC-40"/>
      <sheetName val="RC-41"/>
      <sheetName val="RC-42"/>
      <sheetName val="RC-43"/>
      <sheetName val="RC-45 Obsolete"/>
      <sheetName val="RC-47"/>
      <sheetName val="RC-48"/>
      <sheetName val="RC-49"/>
      <sheetName val="RC-50"/>
      <sheetName val="RC-51"/>
      <sheetName val="RC-52"/>
      <sheetName val="RC-53"/>
      <sheetName val="RC-54"/>
      <sheetName val="RC-55 "/>
      <sheetName val="RC-56"/>
      <sheetName val="RC-57"/>
      <sheetName val="RC-58"/>
      <sheetName val="RC-59"/>
      <sheetName val="RC-60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Doc Index"/>
      <sheetName val="R-1"/>
      <sheetName val="R-2"/>
      <sheetName val="R-3"/>
      <sheetName val="R-4"/>
      <sheetName val="R-5"/>
      <sheetName val="R-6A"/>
      <sheetName val="R-6B"/>
      <sheetName val="R-6C"/>
      <sheetName val="R-6D"/>
      <sheetName val="R-7"/>
      <sheetName val="R-8"/>
      <sheetName val="R-9"/>
      <sheetName val="R-10"/>
      <sheetName val="R-11"/>
      <sheetName val="R-12"/>
      <sheetName val="R-13"/>
      <sheetName val="R-14"/>
      <sheetName val="R-15"/>
      <sheetName val="R-16"/>
      <sheetName val="R-17"/>
      <sheetName val="R-18"/>
      <sheetName val="R-19"/>
      <sheetName val="R-20"/>
      <sheetName val="R-21"/>
      <sheetName val="R-22"/>
      <sheetName val="R-23"/>
      <sheetName val="R-24"/>
      <sheetName val="R-25"/>
      <sheetName val="R-26"/>
      <sheetName val="R-27"/>
      <sheetName val="R-28"/>
      <sheetName val="R-29"/>
      <sheetName val="R-30"/>
      <sheetName val="R-31"/>
      <sheetName val="R-32"/>
      <sheetName val="R-33"/>
      <sheetName val="R-34"/>
      <sheetName val="R-35"/>
      <sheetName val="R-36"/>
      <sheetName val="R-37"/>
      <sheetName val="R-38"/>
      <sheetName val="R-39"/>
      <sheetName val="R-40"/>
      <sheetName val="R-41"/>
      <sheetName val="R-42"/>
      <sheetName val="R-43"/>
      <sheetName val="R-44"/>
      <sheetName val="R-45"/>
      <sheetName val="R-46"/>
      <sheetName val="R-47"/>
      <sheetName val="R-48"/>
      <sheetName val="R-49"/>
      <sheetName val="R-50"/>
      <sheetName val="R-51A"/>
      <sheetName val="R-51B"/>
      <sheetName val="R-51C"/>
      <sheetName val="R-53"/>
      <sheetName val="R-54"/>
      <sheetName val="R-55"/>
      <sheetName val="R-56"/>
      <sheetName val="R-57"/>
      <sheetName val="R-5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Doc Index"/>
      <sheetName val="R-1"/>
      <sheetName val="R-2"/>
      <sheetName val="R-3"/>
      <sheetName val="R-4"/>
      <sheetName val="R-5"/>
      <sheetName val="R-6A"/>
      <sheetName val="R-6B"/>
      <sheetName val="R-6C"/>
      <sheetName val="R-6D"/>
      <sheetName val="R-7"/>
      <sheetName val="R-8"/>
      <sheetName val="R-9"/>
      <sheetName val="R-10"/>
      <sheetName val="R-11"/>
      <sheetName val="R-12"/>
      <sheetName val="R-13"/>
      <sheetName val="R-14"/>
      <sheetName val="R-15"/>
      <sheetName val="R-16"/>
      <sheetName val="R-17"/>
      <sheetName val="R-18"/>
      <sheetName val="R-19"/>
      <sheetName val="R-20"/>
      <sheetName val="R-21"/>
      <sheetName val="R-22"/>
      <sheetName val="R-23"/>
      <sheetName val="R-24"/>
      <sheetName val="R-25"/>
      <sheetName val="R-26"/>
      <sheetName val="R-27"/>
      <sheetName val="R-28"/>
      <sheetName val="R-29"/>
      <sheetName val="R-30"/>
      <sheetName val="R-31"/>
      <sheetName val="R-32"/>
      <sheetName val="R-33"/>
      <sheetName val="R-34"/>
      <sheetName val="R-35"/>
      <sheetName val="R-36"/>
      <sheetName val="R-37"/>
      <sheetName val="R-38"/>
      <sheetName val="R-39"/>
      <sheetName val="R-40"/>
      <sheetName val="R-41"/>
      <sheetName val="R-42"/>
      <sheetName val="R-43"/>
      <sheetName val="R-44"/>
      <sheetName val="R-45"/>
      <sheetName val="R-46"/>
      <sheetName val="R-47"/>
      <sheetName val="R-48"/>
      <sheetName val="R-49"/>
      <sheetName val="R-50"/>
      <sheetName val="R-51"/>
      <sheetName val="R-52"/>
      <sheetName val="R-53"/>
      <sheetName val="R-54"/>
      <sheetName val="R-55"/>
      <sheetName val="R-56"/>
      <sheetName val="R-57"/>
      <sheetName val="R-51A"/>
      <sheetName val="R-51B"/>
      <sheetName val="R-51C"/>
      <sheetName val="R-39A"/>
      <sheetName val="R-39B"/>
      <sheetName val="R-39C"/>
      <sheetName val="R-58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 of Records"/>
      <sheetName val="RC-1"/>
      <sheetName val="RC-2"/>
      <sheetName val="RC-3"/>
      <sheetName val="RC-4"/>
      <sheetName val="RC-5"/>
      <sheetName val="RC-6"/>
      <sheetName val="RC-7"/>
      <sheetName val="RC-8"/>
      <sheetName val="RC-9"/>
      <sheetName val="RC-10"/>
      <sheetName val="RC-11"/>
      <sheetName val="RC-12"/>
      <sheetName val="RC-13"/>
      <sheetName val="RC-14"/>
      <sheetName val="RC-15"/>
      <sheetName val="RC-16A"/>
      <sheetName val="RC-16B"/>
      <sheetName val="RC-16"/>
      <sheetName val="RC-17"/>
      <sheetName val="RC-18"/>
      <sheetName val="RC-19"/>
      <sheetName val="RC-20"/>
      <sheetName val="RC-21"/>
      <sheetName val="RC-22"/>
      <sheetName val="RC-23"/>
      <sheetName val="RC-24"/>
      <sheetName val="RC-26"/>
      <sheetName val="RC-27"/>
      <sheetName val="RC-28"/>
      <sheetName val="RC-29"/>
      <sheetName val="RC-30"/>
      <sheetName val="RC-31"/>
      <sheetName val="RC-32"/>
      <sheetName val="RC-33"/>
      <sheetName val="RC-34"/>
      <sheetName val="RC-35"/>
      <sheetName val="RC-36"/>
      <sheetName val="RC-38"/>
      <sheetName val="RC-39"/>
      <sheetName val="RC-40"/>
      <sheetName val="RC-41"/>
      <sheetName val="RC-42"/>
      <sheetName val="RC-43"/>
      <sheetName val="RC-45"/>
      <sheetName val="RC-46"/>
      <sheetName val="RC-47"/>
      <sheetName val="RC-48"/>
      <sheetName val="RC-49"/>
      <sheetName val="RC-50"/>
      <sheetName val="RC-51"/>
      <sheetName val="RC-52"/>
      <sheetName val="RC-53"/>
      <sheetName val="RC-54"/>
      <sheetName val="RC-55"/>
      <sheetName val="RC-56"/>
      <sheetName val="RC-57"/>
      <sheetName val="RC-58"/>
      <sheetName val="RC-59"/>
      <sheetName val="RC-60"/>
      <sheetName val="List of Records "/>
      <sheetName val="RC-380"/>
      <sheetName val="RC-61"/>
      <sheetName val="RC-62"/>
      <sheetName val="RC-12 Raw"/>
      <sheetName val="RC-12B"/>
      <sheetName val="RC-13 Packaging"/>
      <sheetName val="RC-13B"/>
      <sheetName val="RC-63"/>
      <sheetName val="RC-6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 refreshError="1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3436F-ECBE-47A6-B27F-1D6EC47DF4D3}">
  <sheetPr>
    <tabColor rgb="FFFFD966"/>
    <pageSetUpPr fitToPage="1"/>
  </sheetPr>
  <dimension ref="A1:Q1003"/>
  <sheetViews>
    <sheetView tabSelected="1" topLeftCell="A30" zoomScaleNormal="100" workbookViewId="0">
      <selection activeCell="Q36" sqref="Q36"/>
    </sheetView>
  </sheetViews>
  <sheetFormatPr defaultColWidth="14.42578125" defaultRowHeight="15" customHeight="1"/>
  <cols>
    <col min="1" max="1" width="31.5703125" customWidth="1"/>
    <col min="2" max="2" width="6.42578125" customWidth="1"/>
    <col min="3" max="3" width="18.42578125" customWidth="1"/>
    <col min="4" max="4" width="7" customWidth="1"/>
    <col min="5" max="6" width="5.42578125" customWidth="1"/>
    <col min="7" max="7" width="8" customWidth="1"/>
    <col min="8" max="8" width="6.85546875" customWidth="1"/>
    <col min="9" max="9" width="5.42578125" customWidth="1"/>
    <col min="10" max="10" width="7" customWidth="1"/>
    <col min="11" max="11" width="5.42578125" customWidth="1"/>
    <col min="12" max="12" width="7.7109375" customWidth="1"/>
    <col min="13" max="13" width="7.140625" customWidth="1"/>
    <col min="14" max="16" width="5.42578125" customWidth="1"/>
  </cols>
  <sheetData>
    <row r="1" spans="1:16" ht="22.5" customHeight="1">
      <c r="A1" s="99" t="s">
        <v>0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9"/>
    </row>
    <row r="2" spans="1:16" ht="22.5" customHeight="1">
      <c r="A2" s="3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2"/>
    </row>
    <row r="3" spans="1:16" ht="29.1">
      <c r="A3" s="4" t="s">
        <v>2</v>
      </c>
      <c r="B3" s="4" t="s">
        <v>3</v>
      </c>
      <c r="C3" s="4" t="s">
        <v>4</v>
      </c>
      <c r="D3" s="4" t="s">
        <v>5</v>
      </c>
      <c r="E3" s="100" t="s">
        <v>6</v>
      </c>
      <c r="F3" s="110"/>
      <c r="G3" s="110"/>
      <c r="H3" s="110"/>
      <c r="I3" s="110"/>
      <c r="J3" s="110"/>
      <c r="K3" s="110"/>
      <c r="L3" s="110"/>
      <c r="M3" s="110"/>
      <c r="N3" s="110"/>
      <c r="O3" s="110"/>
      <c r="P3" s="111"/>
    </row>
    <row r="4" spans="1:16" ht="14.45">
      <c r="A4" s="101" t="s">
        <v>7</v>
      </c>
      <c r="B4" s="110"/>
      <c r="C4" s="111"/>
      <c r="D4" s="4"/>
      <c r="E4" s="5" t="s">
        <v>8</v>
      </c>
      <c r="F4" s="5" t="s">
        <v>9</v>
      </c>
      <c r="G4" s="5" t="s">
        <v>10</v>
      </c>
      <c r="H4" s="5" t="s">
        <v>11</v>
      </c>
      <c r="I4" s="5" t="s">
        <v>12</v>
      </c>
      <c r="J4" s="5" t="s">
        <v>13</v>
      </c>
      <c r="K4" s="5" t="s">
        <v>14</v>
      </c>
      <c r="L4" s="5" t="s">
        <v>15</v>
      </c>
      <c r="M4" s="5" t="s">
        <v>16</v>
      </c>
      <c r="N4" s="5" t="s">
        <v>17</v>
      </c>
      <c r="O4" s="5" t="s">
        <v>18</v>
      </c>
      <c r="P4" s="5" t="s">
        <v>19</v>
      </c>
    </row>
    <row r="5" spans="1:16" ht="28.5" customHeight="1">
      <c r="A5" s="6" t="str">
        <f>HYPERLINK("https://drive.google.com/open?id=1TcMXj3FpuG7HpGDSZgLxS3ux6Nj5R7XO","HACCP PLAN: Cooked")</f>
        <v>HACCP PLAN: Cooked</v>
      </c>
      <c r="B5" s="7" t="s">
        <v>20</v>
      </c>
      <c r="C5" s="8" t="s">
        <v>21</v>
      </c>
      <c r="D5" s="9" t="s">
        <v>22</v>
      </c>
      <c r="E5" s="93"/>
      <c r="F5" s="94"/>
      <c r="G5" s="93"/>
      <c r="H5" s="71">
        <v>46132</v>
      </c>
      <c r="I5" s="93"/>
      <c r="J5" s="93"/>
      <c r="K5" s="93"/>
      <c r="L5" s="93"/>
      <c r="M5" s="93"/>
      <c r="N5" s="93"/>
      <c r="O5" s="93"/>
      <c r="P5" s="93"/>
    </row>
    <row r="6" spans="1:16" ht="28.5" customHeight="1">
      <c r="A6" s="6" t="str">
        <f>HYPERLINK("https://drive.google.com/open?id=10kIvYQBuMLfjbf5DJks5RaSnGGcoo4r_","HACCP PLAN: Fermented/ Acidified")</f>
        <v>HACCP PLAN: Fermented/ Acidified</v>
      </c>
      <c r="B6" s="7" t="s">
        <v>20</v>
      </c>
      <c r="C6" s="8" t="s">
        <v>21</v>
      </c>
      <c r="D6" s="9" t="s">
        <v>22</v>
      </c>
      <c r="E6" s="10"/>
      <c r="F6" s="11"/>
      <c r="G6" s="10"/>
      <c r="H6" s="10"/>
      <c r="I6" s="10"/>
      <c r="J6" s="10"/>
      <c r="K6" s="10"/>
      <c r="L6" s="10"/>
      <c r="M6" s="10"/>
      <c r="N6" s="10"/>
      <c r="O6" s="10" t="s">
        <v>23</v>
      </c>
      <c r="P6" s="10"/>
    </row>
    <row r="7" spans="1:16" ht="28.5" customHeight="1">
      <c r="A7" s="6" t="str">
        <f>HYPERLINK("https://drive.google.com/open?id=1BE7002-mmqHdTfxXuY0kBwKZzUSleSTi","HACCP PLAN: Jerky")</f>
        <v>HACCP PLAN: Jerky</v>
      </c>
      <c r="B7" s="7" t="s">
        <v>20</v>
      </c>
      <c r="C7" s="8" t="s">
        <v>21</v>
      </c>
      <c r="D7" s="9" t="s">
        <v>22</v>
      </c>
      <c r="E7" s="10"/>
      <c r="F7" s="11"/>
      <c r="G7" s="10"/>
      <c r="H7" s="10"/>
      <c r="I7" s="10"/>
      <c r="J7" s="10"/>
      <c r="K7" s="10"/>
      <c r="L7" s="10"/>
      <c r="M7" s="10"/>
      <c r="N7" s="10"/>
      <c r="O7" s="10"/>
      <c r="P7" s="10"/>
    </row>
    <row r="8" spans="1:16" ht="28.5" customHeight="1">
      <c r="A8" s="6" t="str">
        <f>HYPERLINK("https://drive.google.com/open?id=1a4qmF3X4N7rHYZF-Zn_DrhMCyEgz-qhb","Pre-requisite Programs")</f>
        <v>Pre-requisite Programs</v>
      </c>
      <c r="B8" s="7" t="s">
        <v>20</v>
      </c>
      <c r="C8" s="8" t="s">
        <v>21</v>
      </c>
      <c r="D8" s="9" t="s">
        <v>22</v>
      </c>
      <c r="E8" s="10"/>
      <c r="F8" s="11"/>
      <c r="G8" s="10"/>
      <c r="H8" s="10"/>
      <c r="I8" s="10"/>
      <c r="J8" s="10"/>
      <c r="K8" s="10"/>
      <c r="L8" s="10"/>
      <c r="M8" s="10"/>
      <c r="N8" s="10"/>
      <c r="O8" s="10"/>
      <c r="P8" s="10"/>
    </row>
    <row r="9" spans="1:16" ht="28.5" customHeight="1">
      <c r="A9" s="6"/>
      <c r="B9" s="7"/>
      <c r="C9" s="8"/>
      <c r="D9" s="9"/>
      <c r="E9" s="10"/>
      <c r="F9" s="11"/>
      <c r="G9" s="10"/>
      <c r="H9" s="10"/>
      <c r="I9" s="10"/>
      <c r="J9" s="10"/>
      <c r="K9" s="10"/>
      <c r="L9" s="10"/>
      <c r="M9" s="10"/>
      <c r="N9" s="10"/>
      <c r="O9" s="10"/>
      <c r="P9" s="10"/>
    </row>
    <row r="10" spans="1:16" ht="28.5" customHeight="1">
      <c r="A10" s="6"/>
      <c r="B10" s="7"/>
      <c r="C10" s="8"/>
      <c r="D10" s="9"/>
      <c r="E10" s="10"/>
      <c r="F10" s="11"/>
      <c r="G10" s="10"/>
      <c r="H10" s="10"/>
      <c r="I10" s="10"/>
      <c r="J10" s="10"/>
      <c r="K10" s="10"/>
      <c r="L10" s="10"/>
      <c r="M10" s="10"/>
      <c r="N10" s="10"/>
      <c r="O10" s="10"/>
      <c r="P10" s="10"/>
    </row>
    <row r="11" spans="1:16" ht="28.5" customHeight="1">
      <c r="A11" s="6" t="str">
        <f>HYPERLINK("https://drive.google.com/open?id=1yAX1qPeX3uYQx0aM6iNitgksexmsooT8","Manuals")</f>
        <v>Manuals</v>
      </c>
      <c r="B11" s="7" t="s">
        <v>20</v>
      </c>
      <c r="C11" s="8" t="s">
        <v>21</v>
      </c>
      <c r="D11" s="9" t="s">
        <v>22</v>
      </c>
      <c r="E11" s="93"/>
      <c r="F11" s="94"/>
      <c r="G11" s="93"/>
      <c r="H11" s="93"/>
      <c r="I11" s="93"/>
      <c r="J11" s="93"/>
      <c r="K11" s="93"/>
      <c r="L11" s="93"/>
      <c r="M11" s="93"/>
      <c r="N11" s="93"/>
      <c r="O11" s="93"/>
      <c r="P11" s="93"/>
    </row>
    <row r="12" spans="1:16" ht="28.5" customHeight="1">
      <c r="A12" s="6" t="s">
        <v>24</v>
      </c>
      <c r="B12" s="7" t="s">
        <v>20</v>
      </c>
      <c r="C12" s="8" t="s">
        <v>21</v>
      </c>
      <c r="D12" s="9" t="s">
        <v>22</v>
      </c>
      <c r="E12" s="93"/>
      <c r="F12" s="94"/>
      <c r="G12" s="93"/>
      <c r="H12" s="93"/>
      <c r="I12" s="93"/>
      <c r="J12" s="77">
        <v>46238</v>
      </c>
      <c r="K12" s="93"/>
      <c r="L12" s="93"/>
      <c r="M12" s="93"/>
      <c r="N12" s="93"/>
      <c r="O12" s="93"/>
      <c r="P12" s="93"/>
    </row>
    <row r="13" spans="1:16" ht="28.5" customHeight="1">
      <c r="A13" s="6" t="s">
        <v>25</v>
      </c>
      <c r="B13" s="7" t="s">
        <v>20</v>
      </c>
      <c r="C13" s="8" t="s">
        <v>21</v>
      </c>
      <c r="D13" s="9" t="s">
        <v>22</v>
      </c>
      <c r="E13" s="93"/>
      <c r="F13" s="94"/>
      <c r="G13" s="93"/>
      <c r="H13" s="93"/>
      <c r="I13" s="93"/>
      <c r="J13" s="77">
        <v>46188</v>
      </c>
      <c r="K13" s="93"/>
      <c r="L13" s="93"/>
      <c r="M13" s="93"/>
      <c r="N13" s="93"/>
      <c r="O13" s="93"/>
      <c r="P13" s="93"/>
    </row>
    <row r="14" spans="1:16" ht="28.5" customHeight="1">
      <c r="A14" s="6" t="s">
        <v>26</v>
      </c>
      <c r="B14" s="7" t="s">
        <v>20</v>
      </c>
      <c r="C14" s="8" t="s">
        <v>21</v>
      </c>
      <c r="D14" s="9" t="s">
        <v>22</v>
      </c>
      <c r="E14" s="93"/>
      <c r="F14" s="94"/>
      <c r="G14" s="93"/>
      <c r="H14" s="93"/>
      <c r="I14" s="93"/>
      <c r="J14" s="93"/>
      <c r="K14" s="93"/>
      <c r="L14" s="93"/>
      <c r="M14" s="92">
        <v>46268</v>
      </c>
      <c r="N14" s="93"/>
      <c r="O14" s="93"/>
      <c r="P14" s="93"/>
    </row>
    <row r="15" spans="1:16" ht="28.5" customHeight="1">
      <c r="A15" s="6" t="str">
        <f>HYPERLINK("https://drive.google.com/open?id=1GqGE0MI12moRQPl2YgglrKok9CTi26h5","HACCP Validation ")</f>
        <v xml:space="preserve">HACCP Validation </v>
      </c>
      <c r="B15" s="7" t="s">
        <v>20</v>
      </c>
      <c r="C15" s="8" t="s">
        <v>21</v>
      </c>
      <c r="D15" s="9" t="s">
        <v>22</v>
      </c>
      <c r="E15" s="10"/>
      <c r="F15" s="11"/>
      <c r="G15" s="10"/>
      <c r="H15" s="10"/>
      <c r="I15" s="10"/>
      <c r="J15" s="10"/>
      <c r="K15" s="10"/>
      <c r="L15" s="10"/>
      <c r="M15" s="10" t="s">
        <v>27</v>
      </c>
      <c r="N15" s="10"/>
      <c r="O15" s="10"/>
      <c r="P15" s="10"/>
    </row>
    <row r="16" spans="1:16" ht="30.75" customHeight="1">
      <c r="A16" s="102" t="s">
        <v>28</v>
      </c>
      <c r="B16" s="108"/>
      <c r="C16" s="108"/>
      <c r="D16" s="108"/>
      <c r="E16" s="108"/>
      <c r="F16" s="108"/>
      <c r="G16" s="108"/>
      <c r="H16" s="108"/>
      <c r="I16" s="108"/>
      <c r="J16" s="108"/>
      <c r="K16" s="108"/>
      <c r="L16" s="108"/>
      <c r="M16" s="108"/>
      <c r="N16" s="108"/>
      <c r="O16" s="108"/>
      <c r="P16" s="109"/>
    </row>
    <row r="17" spans="1:16" ht="29.1">
      <c r="A17" s="4" t="s">
        <v>29</v>
      </c>
      <c r="B17" s="4" t="s">
        <v>3</v>
      </c>
      <c r="C17" s="4" t="s">
        <v>4</v>
      </c>
      <c r="D17" s="12" t="s">
        <v>5</v>
      </c>
      <c r="E17" s="100" t="s">
        <v>6</v>
      </c>
      <c r="F17" s="110"/>
      <c r="G17" s="110"/>
      <c r="H17" s="110"/>
      <c r="I17" s="110"/>
      <c r="J17" s="110"/>
      <c r="K17" s="110"/>
      <c r="L17" s="110"/>
      <c r="M17" s="110"/>
      <c r="N17" s="110"/>
      <c r="O17" s="110"/>
      <c r="P17" s="111"/>
    </row>
    <row r="18" spans="1:16" ht="23.25" customHeight="1">
      <c r="A18" s="98" t="s">
        <v>30</v>
      </c>
      <c r="B18" s="110"/>
      <c r="C18" s="110"/>
      <c r="D18" s="111"/>
      <c r="E18" s="5" t="s">
        <v>8</v>
      </c>
      <c r="F18" s="5" t="s">
        <v>9</v>
      </c>
      <c r="G18" s="5" t="s">
        <v>10</v>
      </c>
      <c r="H18" s="5" t="s">
        <v>11</v>
      </c>
      <c r="I18" s="5" t="s">
        <v>12</v>
      </c>
      <c r="J18" s="5" t="s">
        <v>13</v>
      </c>
      <c r="K18" s="5" t="s">
        <v>14</v>
      </c>
      <c r="L18" s="5" t="s">
        <v>15</v>
      </c>
      <c r="M18" s="5" t="s">
        <v>16</v>
      </c>
      <c r="N18" s="5" t="s">
        <v>17</v>
      </c>
      <c r="O18" s="5" t="s">
        <v>18</v>
      </c>
      <c r="P18" s="5" t="s">
        <v>19</v>
      </c>
    </row>
    <row r="19" spans="1:16" ht="32.25" customHeight="1">
      <c r="A19" s="13" t="s">
        <v>31</v>
      </c>
      <c r="B19" s="14" t="s">
        <v>32</v>
      </c>
      <c r="C19" s="8" t="s">
        <v>33</v>
      </c>
      <c r="D19" s="15" t="s">
        <v>34</v>
      </c>
      <c r="E19" s="76"/>
      <c r="F19" s="76"/>
      <c r="G19" s="76"/>
      <c r="H19" s="76"/>
      <c r="I19" s="10" t="s">
        <v>35</v>
      </c>
      <c r="J19" s="76"/>
      <c r="K19" s="76"/>
      <c r="L19" s="76"/>
      <c r="M19" s="11"/>
      <c r="N19" s="76"/>
      <c r="O19" s="76"/>
      <c r="P19" s="76"/>
    </row>
    <row r="20" spans="1:16" ht="32.25" customHeight="1">
      <c r="A20" s="16" t="s">
        <v>36</v>
      </c>
      <c r="B20" s="17" t="s">
        <v>37</v>
      </c>
      <c r="C20" s="18" t="s">
        <v>38</v>
      </c>
      <c r="D20" s="9" t="s">
        <v>39</v>
      </c>
      <c r="E20" s="11" t="s">
        <v>35</v>
      </c>
      <c r="F20" s="11" t="s">
        <v>35</v>
      </c>
      <c r="G20" s="11" t="s">
        <v>35</v>
      </c>
      <c r="H20" s="11" t="s">
        <v>35</v>
      </c>
      <c r="I20" s="11" t="s">
        <v>35</v>
      </c>
      <c r="J20" s="11" t="s">
        <v>35</v>
      </c>
      <c r="K20" s="11" t="s">
        <v>35</v>
      </c>
      <c r="L20" s="11" t="s">
        <v>35</v>
      </c>
      <c r="M20" s="11"/>
      <c r="N20" s="11"/>
      <c r="O20" s="11"/>
      <c r="P20" s="11"/>
    </row>
    <row r="21" spans="1:16" ht="32.25" customHeight="1">
      <c r="A21" s="16" t="s">
        <v>40</v>
      </c>
      <c r="B21" s="17" t="s">
        <v>41</v>
      </c>
      <c r="C21" s="18" t="s">
        <v>38</v>
      </c>
      <c r="D21" s="9" t="s">
        <v>39</v>
      </c>
      <c r="E21" s="11" t="s">
        <v>42</v>
      </c>
      <c r="F21" s="11" t="s">
        <v>42</v>
      </c>
      <c r="G21" s="91" t="s">
        <v>42</v>
      </c>
      <c r="H21" s="11" t="s">
        <v>43</v>
      </c>
      <c r="I21" s="11" t="s">
        <v>43</v>
      </c>
      <c r="J21" s="11" t="s">
        <v>35</v>
      </c>
      <c r="K21" s="11" t="s">
        <v>35</v>
      </c>
      <c r="L21" s="11" t="s">
        <v>35</v>
      </c>
      <c r="M21" s="11"/>
      <c r="N21" s="11"/>
      <c r="O21" s="11"/>
      <c r="P21" s="11"/>
    </row>
    <row r="22" spans="1:16" ht="32.25" customHeight="1">
      <c r="A22" s="16" t="s">
        <v>44</v>
      </c>
      <c r="B22" s="17" t="s">
        <v>45</v>
      </c>
      <c r="C22" s="18" t="s">
        <v>38</v>
      </c>
      <c r="D22" s="9" t="s">
        <v>39</v>
      </c>
      <c r="E22" s="11" t="s">
        <v>35</v>
      </c>
      <c r="F22" s="11" t="s">
        <v>35</v>
      </c>
      <c r="G22" s="91" t="s">
        <v>35</v>
      </c>
      <c r="H22" s="11" t="s">
        <v>35</v>
      </c>
      <c r="I22" s="11" t="s">
        <v>35</v>
      </c>
      <c r="J22" s="11" t="s">
        <v>35</v>
      </c>
      <c r="K22" s="11" t="s">
        <v>35</v>
      </c>
      <c r="L22" s="11" t="s">
        <v>35</v>
      </c>
      <c r="M22" s="11"/>
      <c r="N22" s="11"/>
      <c r="O22" s="11"/>
      <c r="P22" s="11"/>
    </row>
    <row r="23" spans="1:16" ht="32.25" customHeight="1">
      <c r="A23" s="16" t="s">
        <v>46</v>
      </c>
      <c r="B23" s="17" t="s">
        <v>47</v>
      </c>
      <c r="C23" s="18" t="s">
        <v>38</v>
      </c>
      <c r="D23" s="9" t="s">
        <v>39</v>
      </c>
      <c r="E23" s="11" t="s">
        <v>35</v>
      </c>
      <c r="F23" s="11" t="s">
        <v>35</v>
      </c>
      <c r="G23" s="91" t="s">
        <v>35</v>
      </c>
      <c r="H23" s="11" t="s">
        <v>35</v>
      </c>
      <c r="I23" s="11" t="s">
        <v>35</v>
      </c>
      <c r="J23" s="11" t="s">
        <v>35</v>
      </c>
      <c r="K23" s="11" t="s">
        <v>35</v>
      </c>
      <c r="L23" s="11" t="s">
        <v>35</v>
      </c>
      <c r="M23" s="11"/>
      <c r="N23" s="11"/>
      <c r="O23" s="11"/>
      <c r="P23" s="11"/>
    </row>
    <row r="24" spans="1:16" ht="32.25" customHeight="1">
      <c r="A24" s="16" t="s">
        <v>48</v>
      </c>
      <c r="B24" s="17" t="s">
        <v>49</v>
      </c>
      <c r="C24" s="18" t="s">
        <v>38</v>
      </c>
      <c r="D24" s="9" t="s">
        <v>39</v>
      </c>
      <c r="E24" s="11" t="s">
        <v>35</v>
      </c>
      <c r="F24" s="11" t="s">
        <v>35</v>
      </c>
      <c r="G24" s="11" t="s">
        <v>35</v>
      </c>
      <c r="H24" s="11" t="s">
        <v>35</v>
      </c>
      <c r="I24" s="11" t="s">
        <v>35</v>
      </c>
      <c r="J24" s="11" t="s">
        <v>35</v>
      </c>
      <c r="K24" s="11" t="s">
        <v>35</v>
      </c>
      <c r="L24" s="11" t="s">
        <v>35</v>
      </c>
      <c r="M24" s="11"/>
      <c r="N24" s="11"/>
      <c r="O24" s="11"/>
      <c r="P24" s="11"/>
    </row>
    <row r="25" spans="1:16" ht="32.25" customHeight="1">
      <c r="A25" s="16" t="s">
        <v>50</v>
      </c>
      <c r="B25" s="17" t="s">
        <v>51</v>
      </c>
      <c r="C25" s="18" t="s">
        <v>38</v>
      </c>
      <c r="D25" s="9" t="s">
        <v>39</v>
      </c>
      <c r="E25" s="11" t="s">
        <v>35</v>
      </c>
      <c r="F25" s="11" t="s">
        <v>35</v>
      </c>
      <c r="G25" s="91" t="s">
        <v>35</v>
      </c>
      <c r="H25" s="11" t="s">
        <v>35</v>
      </c>
      <c r="I25" s="11" t="s">
        <v>35</v>
      </c>
      <c r="J25" s="11" t="s">
        <v>35</v>
      </c>
      <c r="K25" s="11" t="s">
        <v>35</v>
      </c>
      <c r="L25" s="11" t="s">
        <v>35</v>
      </c>
      <c r="M25" s="11"/>
      <c r="N25" s="11"/>
      <c r="O25" s="11"/>
      <c r="P25" s="11"/>
    </row>
    <row r="26" spans="1:16" ht="33" customHeight="1">
      <c r="A26" s="16" t="s">
        <v>52</v>
      </c>
      <c r="B26" s="17" t="s">
        <v>53</v>
      </c>
      <c r="C26" s="8" t="s">
        <v>21</v>
      </c>
      <c r="D26" s="9" t="s">
        <v>22</v>
      </c>
      <c r="E26" s="76"/>
      <c r="F26" s="76"/>
      <c r="G26" s="76"/>
      <c r="H26" s="76"/>
      <c r="I26" s="76"/>
      <c r="J26" s="76"/>
      <c r="K26" s="76"/>
      <c r="L26" s="10" t="s">
        <v>15</v>
      </c>
      <c r="M26" s="76"/>
      <c r="N26" s="76"/>
      <c r="O26" s="76"/>
      <c r="P26" s="76"/>
    </row>
    <row r="27" spans="1:16" ht="32.25" customHeight="1">
      <c r="A27" s="19" t="s">
        <v>54</v>
      </c>
      <c r="B27" s="17" t="s">
        <v>55</v>
      </c>
      <c r="C27" s="8" t="s">
        <v>21</v>
      </c>
      <c r="D27" s="9" t="s">
        <v>22</v>
      </c>
      <c r="E27" s="10"/>
      <c r="F27" s="10"/>
      <c r="G27" s="10"/>
      <c r="H27" s="10"/>
      <c r="I27" s="10"/>
      <c r="J27" s="10"/>
      <c r="K27" s="10"/>
      <c r="L27" s="10"/>
      <c r="M27" s="11"/>
      <c r="N27" s="10"/>
      <c r="O27" s="10"/>
      <c r="P27" s="10"/>
    </row>
    <row r="28" spans="1:16" ht="21.75" customHeight="1">
      <c r="A28" s="98" t="s">
        <v>56</v>
      </c>
      <c r="B28" s="103"/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4"/>
    </row>
    <row r="29" spans="1:16" ht="30.75" customHeight="1">
      <c r="A29" s="73" t="s">
        <v>57</v>
      </c>
      <c r="B29" s="74" t="s">
        <v>58</v>
      </c>
      <c r="C29" s="73" t="s">
        <v>59</v>
      </c>
      <c r="D29" s="75" t="s">
        <v>60</v>
      </c>
      <c r="E29" s="76"/>
      <c r="F29" s="76"/>
      <c r="G29" s="76"/>
      <c r="H29" s="76"/>
      <c r="I29" s="76"/>
      <c r="J29" s="76"/>
      <c r="K29" s="76"/>
      <c r="L29" s="76"/>
      <c r="M29" s="76"/>
      <c r="N29" s="76"/>
      <c r="O29" s="76"/>
      <c r="P29" s="76"/>
    </row>
    <row r="30" spans="1:16" ht="30.75" customHeight="1">
      <c r="A30" s="20" t="s">
        <v>61</v>
      </c>
      <c r="B30" s="17" t="s">
        <v>62</v>
      </c>
      <c r="C30" s="18" t="s">
        <v>59</v>
      </c>
      <c r="D30" s="9" t="s">
        <v>39</v>
      </c>
      <c r="E30" s="11" t="s">
        <v>35</v>
      </c>
      <c r="F30" s="11" t="s">
        <v>35</v>
      </c>
      <c r="G30" s="11" t="s">
        <v>35</v>
      </c>
      <c r="H30" s="11" t="s">
        <v>35</v>
      </c>
      <c r="I30" s="11" t="s">
        <v>35</v>
      </c>
      <c r="J30" s="11"/>
      <c r="K30" s="11"/>
      <c r="L30" s="11"/>
      <c r="M30" s="11"/>
      <c r="N30" s="11"/>
      <c r="O30" s="11"/>
      <c r="P30" s="11"/>
    </row>
    <row r="31" spans="1:16" ht="30.75" customHeight="1">
      <c r="A31" s="20" t="s">
        <v>63</v>
      </c>
      <c r="B31" s="17" t="s">
        <v>64</v>
      </c>
      <c r="C31" s="18" t="s">
        <v>59</v>
      </c>
      <c r="D31" s="9" t="s">
        <v>39</v>
      </c>
      <c r="E31" s="11" t="s">
        <v>65</v>
      </c>
      <c r="F31" s="11" t="s">
        <v>65</v>
      </c>
      <c r="G31" s="11" t="s">
        <v>65</v>
      </c>
      <c r="H31" s="11" t="s">
        <v>65</v>
      </c>
      <c r="I31" s="11" t="s">
        <v>65</v>
      </c>
      <c r="J31" s="11" t="s">
        <v>65</v>
      </c>
      <c r="K31" s="11" t="s">
        <v>65</v>
      </c>
      <c r="L31" s="11"/>
      <c r="M31" s="11"/>
      <c r="N31" s="11"/>
      <c r="O31" s="11"/>
      <c r="P31" s="11"/>
    </row>
    <row r="32" spans="1:16" ht="30.75" customHeight="1">
      <c r="A32" s="20" t="s">
        <v>66</v>
      </c>
      <c r="B32" s="17" t="str">
        <f>HYPERLINK("https://docs.google.com/spreadsheets/d/18jimc-EQg2CZ43oTIf70yfkNG4x2CBvIgNDZCPbbiSI/edit#gid=423573207","RC-10")</f>
        <v>RC-10</v>
      </c>
      <c r="C32" s="8" t="s">
        <v>21</v>
      </c>
      <c r="D32" s="9" t="s">
        <v>67</v>
      </c>
      <c r="E32" s="76"/>
      <c r="F32" s="76"/>
      <c r="G32" s="77">
        <v>46112</v>
      </c>
      <c r="H32" s="76"/>
      <c r="I32" s="76"/>
      <c r="J32" s="77">
        <v>46176</v>
      </c>
      <c r="K32" s="76"/>
      <c r="L32" s="76"/>
      <c r="M32" s="11"/>
      <c r="N32" s="76"/>
      <c r="O32" s="76"/>
      <c r="P32" s="10"/>
    </row>
    <row r="33" spans="1:16" ht="22.5" customHeight="1">
      <c r="A33" s="105" t="s">
        <v>68</v>
      </c>
      <c r="B33" s="110"/>
      <c r="C33" s="110"/>
      <c r="D33" s="110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2"/>
    </row>
    <row r="34" spans="1:16" ht="30.75" customHeight="1">
      <c r="A34" s="23" t="s">
        <v>69</v>
      </c>
      <c r="B34" s="24" t="s">
        <v>70</v>
      </c>
      <c r="C34" s="25" t="s">
        <v>71</v>
      </c>
      <c r="D34" s="9" t="s">
        <v>22</v>
      </c>
      <c r="E34" s="63"/>
      <c r="F34" s="63"/>
      <c r="G34" s="63"/>
      <c r="H34" s="71">
        <v>46141</v>
      </c>
      <c r="I34" s="63"/>
      <c r="J34" s="63"/>
      <c r="K34" s="63"/>
      <c r="L34" s="63"/>
      <c r="M34" s="63"/>
      <c r="N34" s="63"/>
      <c r="O34" s="63"/>
      <c r="P34" s="63"/>
    </row>
    <row r="35" spans="1:16" ht="30.75" customHeight="1">
      <c r="A35" s="26" t="s">
        <v>72</v>
      </c>
      <c r="B35" s="17" t="s">
        <v>73</v>
      </c>
      <c r="C35" s="27" t="s">
        <v>74</v>
      </c>
      <c r="D35" s="9" t="s">
        <v>75</v>
      </c>
      <c r="E35" s="70" t="s">
        <v>76</v>
      </c>
      <c r="F35" s="63"/>
      <c r="G35" s="10"/>
      <c r="H35" s="63"/>
      <c r="I35" s="63"/>
      <c r="J35" s="10"/>
      <c r="K35" s="63"/>
      <c r="L35" s="63"/>
      <c r="M35" s="10"/>
      <c r="N35" s="63"/>
      <c r="O35" s="63"/>
      <c r="P35" s="10"/>
    </row>
    <row r="36" spans="1:16" ht="30.75" customHeight="1">
      <c r="A36" s="26" t="s">
        <v>77</v>
      </c>
      <c r="B36" s="17" t="s">
        <v>78</v>
      </c>
      <c r="C36" s="27" t="s">
        <v>79</v>
      </c>
      <c r="D36" s="9" t="s">
        <v>39</v>
      </c>
      <c r="E36" s="72" t="s">
        <v>35</v>
      </c>
      <c r="F36" s="72" t="s">
        <v>35</v>
      </c>
      <c r="G36" s="72" t="s">
        <v>35</v>
      </c>
      <c r="H36" s="11"/>
      <c r="I36" s="72" t="s">
        <v>35</v>
      </c>
      <c r="J36" s="11"/>
      <c r="K36" s="11" t="s">
        <v>35</v>
      </c>
      <c r="L36" s="11"/>
      <c r="M36" s="11"/>
      <c r="N36" s="11"/>
      <c r="O36" s="11"/>
      <c r="P36" s="11"/>
    </row>
    <row r="37" spans="1:16" ht="30.75" customHeight="1">
      <c r="A37" s="26" t="s">
        <v>80</v>
      </c>
      <c r="B37" s="17" t="s">
        <v>81</v>
      </c>
      <c r="C37" s="27" t="s">
        <v>74</v>
      </c>
      <c r="D37" s="9" t="s">
        <v>75</v>
      </c>
      <c r="E37" s="63"/>
      <c r="F37" s="63"/>
      <c r="G37" s="10"/>
      <c r="H37" s="63"/>
      <c r="I37" s="63"/>
      <c r="J37" s="10"/>
      <c r="K37" s="63"/>
      <c r="L37" s="63"/>
      <c r="M37" s="10"/>
      <c r="N37" s="63"/>
      <c r="O37" s="63"/>
      <c r="P37" s="10"/>
    </row>
    <row r="38" spans="1:16" ht="30.75" customHeight="1">
      <c r="A38" s="26" t="s">
        <v>82</v>
      </c>
      <c r="B38" s="17" t="s">
        <v>83</v>
      </c>
      <c r="C38" s="27" t="s">
        <v>84</v>
      </c>
      <c r="D38" s="9" t="s">
        <v>39</v>
      </c>
      <c r="E38" s="69" t="s">
        <v>35</v>
      </c>
      <c r="F38" s="72" t="s">
        <v>35</v>
      </c>
      <c r="G38" s="72" t="s">
        <v>35</v>
      </c>
      <c r="H38" s="11"/>
      <c r="I38" s="11"/>
      <c r="J38" s="11"/>
      <c r="K38" s="11"/>
      <c r="L38" s="11"/>
      <c r="M38" s="11"/>
      <c r="N38" s="11"/>
      <c r="O38" s="11"/>
      <c r="P38" s="11"/>
    </row>
    <row r="39" spans="1:16" ht="30.75" customHeight="1">
      <c r="A39" s="23" t="s">
        <v>85</v>
      </c>
      <c r="B39" s="28" t="s">
        <v>86</v>
      </c>
      <c r="C39" s="29" t="s">
        <v>71</v>
      </c>
      <c r="D39" s="9" t="s">
        <v>22</v>
      </c>
      <c r="E39" s="63"/>
      <c r="F39" s="63"/>
      <c r="G39" s="63"/>
      <c r="H39" s="63"/>
      <c r="I39" s="63"/>
      <c r="J39" s="63"/>
      <c r="K39" s="63"/>
      <c r="L39" s="63"/>
      <c r="M39" s="10" t="s">
        <v>35</v>
      </c>
      <c r="N39" s="63"/>
      <c r="O39" s="63"/>
      <c r="P39" s="63"/>
    </row>
    <row r="40" spans="1:16" ht="30.75" customHeight="1">
      <c r="A40" s="26" t="s">
        <v>87</v>
      </c>
      <c r="B40" s="30" t="s">
        <v>88</v>
      </c>
      <c r="C40" s="27" t="s">
        <v>89</v>
      </c>
      <c r="D40" s="9" t="s">
        <v>75</v>
      </c>
      <c r="E40" s="10" t="s">
        <v>90</v>
      </c>
      <c r="F40" s="10" t="s">
        <v>90</v>
      </c>
      <c r="G40" s="10" t="s">
        <v>90</v>
      </c>
      <c r="H40" s="10" t="s">
        <v>90</v>
      </c>
      <c r="I40" s="10" t="s">
        <v>90</v>
      </c>
      <c r="J40" s="10" t="s">
        <v>90</v>
      </c>
      <c r="K40" s="10" t="s">
        <v>90</v>
      </c>
      <c r="L40" s="11"/>
      <c r="M40" s="10"/>
      <c r="N40" s="10"/>
      <c r="O40" s="11"/>
      <c r="P40" s="10"/>
    </row>
    <row r="41" spans="1:16" ht="30.75" customHeight="1">
      <c r="A41" s="31" t="s">
        <v>91</v>
      </c>
      <c r="B41" s="17" t="s">
        <v>92</v>
      </c>
      <c r="C41" s="27" t="s">
        <v>93</v>
      </c>
      <c r="D41" s="9" t="s">
        <v>94</v>
      </c>
      <c r="E41" s="10" t="s">
        <v>95</v>
      </c>
      <c r="F41" s="10" t="s">
        <v>96</v>
      </c>
      <c r="G41" s="10" t="s">
        <v>96</v>
      </c>
      <c r="H41" s="10" t="s">
        <v>96</v>
      </c>
      <c r="I41" s="10" t="s">
        <v>96</v>
      </c>
      <c r="J41" s="10" t="s">
        <v>96</v>
      </c>
      <c r="K41" s="10" t="s">
        <v>96</v>
      </c>
      <c r="L41" s="10"/>
      <c r="M41" s="10"/>
      <c r="N41" s="10"/>
      <c r="O41" s="11"/>
      <c r="P41" s="10"/>
    </row>
    <row r="42" spans="1:16" ht="30.75" customHeight="1">
      <c r="A42" s="31" t="s">
        <v>97</v>
      </c>
      <c r="B42" s="17" t="s">
        <v>98</v>
      </c>
      <c r="C42" s="27" t="s">
        <v>93</v>
      </c>
      <c r="D42" s="9" t="s">
        <v>94</v>
      </c>
      <c r="E42" s="10" t="s">
        <v>99</v>
      </c>
      <c r="F42" s="10" t="s">
        <v>96</v>
      </c>
      <c r="G42" s="10" t="s">
        <v>96</v>
      </c>
      <c r="H42" s="10" t="s">
        <v>96</v>
      </c>
      <c r="I42" s="11" t="s">
        <v>96</v>
      </c>
      <c r="J42" s="11" t="s">
        <v>96</v>
      </c>
      <c r="K42" s="11" t="s">
        <v>96</v>
      </c>
      <c r="L42" s="10"/>
      <c r="M42" s="10"/>
      <c r="N42" s="10"/>
      <c r="O42" s="11"/>
      <c r="P42" s="10"/>
    </row>
    <row r="43" spans="1:16" ht="30.75" customHeight="1">
      <c r="A43" s="31" t="s">
        <v>100</v>
      </c>
      <c r="B43" s="17" t="s">
        <v>101</v>
      </c>
      <c r="C43" s="27" t="s">
        <v>93</v>
      </c>
      <c r="D43" s="9" t="s">
        <v>94</v>
      </c>
      <c r="E43" s="10" t="s">
        <v>102</v>
      </c>
      <c r="F43" s="10" t="s">
        <v>96</v>
      </c>
      <c r="G43" s="10" t="s">
        <v>96</v>
      </c>
      <c r="H43" s="10" t="s">
        <v>96</v>
      </c>
      <c r="I43" s="11" t="s">
        <v>96</v>
      </c>
      <c r="J43" s="11" t="s">
        <v>96</v>
      </c>
      <c r="K43" s="11" t="s">
        <v>96</v>
      </c>
      <c r="L43" s="10"/>
      <c r="M43" s="10"/>
      <c r="N43" s="10"/>
      <c r="O43" s="11"/>
      <c r="P43" s="10"/>
    </row>
    <row r="44" spans="1:16" ht="30.75" customHeight="1">
      <c r="A44" s="23" t="s">
        <v>103</v>
      </c>
      <c r="B44" s="24" t="s">
        <v>104</v>
      </c>
      <c r="C44" s="27" t="s">
        <v>93</v>
      </c>
      <c r="D44" s="9" t="s">
        <v>94</v>
      </c>
      <c r="E44" s="10" t="s">
        <v>96</v>
      </c>
      <c r="F44" s="10" t="s">
        <v>96</v>
      </c>
      <c r="G44" s="10" t="s">
        <v>35</v>
      </c>
      <c r="H44" s="11" t="s">
        <v>96</v>
      </c>
      <c r="I44" s="11" t="s">
        <v>96</v>
      </c>
      <c r="J44" s="10" t="s">
        <v>35</v>
      </c>
      <c r="K44" s="11" t="s">
        <v>96</v>
      </c>
      <c r="L44" s="11" t="s">
        <v>96</v>
      </c>
      <c r="M44" s="11" t="s">
        <v>96</v>
      </c>
      <c r="N44" s="11" t="s">
        <v>96</v>
      </c>
      <c r="O44" s="11" t="s">
        <v>96</v>
      </c>
      <c r="P44" s="11" t="s">
        <v>96</v>
      </c>
    </row>
    <row r="45" spans="1:16" ht="30.75" customHeight="1">
      <c r="A45" s="23" t="s">
        <v>105</v>
      </c>
      <c r="B45" s="24" t="s">
        <v>106</v>
      </c>
      <c r="C45" s="27" t="s">
        <v>107</v>
      </c>
      <c r="D45" s="9" t="s">
        <v>22</v>
      </c>
      <c r="E45" s="63"/>
      <c r="F45" s="63"/>
      <c r="G45" s="63"/>
      <c r="H45" s="63"/>
      <c r="I45" s="11" t="s">
        <v>35</v>
      </c>
      <c r="J45" s="63"/>
      <c r="K45" s="63"/>
      <c r="L45" s="63"/>
      <c r="M45" s="63"/>
      <c r="N45" s="63"/>
      <c r="O45" s="63"/>
      <c r="P45" s="63"/>
    </row>
    <row r="46" spans="1:16" ht="30.75" customHeight="1">
      <c r="A46" s="31" t="s">
        <v>108</v>
      </c>
      <c r="B46" s="17" t="s">
        <v>109</v>
      </c>
      <c r="C46" s="27" t="s">
        <v>110</v>
      </c>
      <c r="D46" s="9" t="s">
        <v>22</v>
      </c>
      <c r="E46" s="63"/>
      <c r="F46" s="63"/>
      <c r="G46" s="63"/>
      <c r="H46" s="63"/>
      <c r="I46" s="11" t="s">
        <v>35</v>
      </c>
      <c r="J46" s="63"/>
      <c r="K46" s="63"/>
      <c r="L46" s="63"/>
      <c r="M46" s="63"/>
      <c r="N46" s="63"/>
      <c r="O46" s="63"/>
      <c r="P46" s="63"/>
    </row>
    <row r="47" spans="1:16" ht="30.75" customHeight="1">
      <c r="A47" s="31" t="s">
        <v>111</v>
      </c>
      <c r="B47" s="17" t="s">
        <v>112</v>
      </c>
      <c r="C47" s="27" t="s">
        <v>110</v>
      </c>
      <c r="D47" s="9" t="s">
        <v>22</v>
      </c>
      <c r="E47" s="63"/>
      <c r="F47" s="63"/>
      <c r="G47" s="63"/>
      <c r="H47" s="63"/>
      <c r="I47" s="11" t="s">
        <v>35</v>
      </c>
      <c r="J47" s="63"/>
      <c r="K47" s="63"/>
      <c r="L47" s="63"/>
      <c r="M47" s="63"/>
      <c r="N47" s="63"/>
      <c r="O47" s="63"/>
      <c r="P47" s="63"/>
    </row>
    <row r="48" spans="1:16" ht="30.75" customHeight="1">
      <c r="A48" s="26" t="s">
        <v>113</v>
      </c>
      <c r="B48" s="17" t="s">
        <v>114</v>
      </c>
      <c r="C48" s="27" t="s">
        <v>71</v>
      </c>
      <c r="D48" s="9" t="s">
        <v>22</v>
      </c>
      <c r="E48" s="63"/>
      <c r="F48" s="63"/>
      <c r="G48" s="63"/>
      <c r="H48" s="63"/>
      <c r="I48" s="63"/>
      <c r="J48" s="63"/>
      <c r="K48" s="32" t="s">
        <v>35</v>
      </c>
      <c r="L48" s="63"/>
      <c r="M48" s="63"/>
      <c r="N48" s="63"/>
      <c r="O48" s="63"/>
      <c r="P48" s="63"/>
    </row>
    <row r="49" spans="1:16" ht="15.75" customHeight="1">
      <c r="A49" s="105" t="s">
        <v>115</v>
      </c>
      <c r="B49" s="110"/>
      <c r="C49" s="111"/>
      <c r="D49" s="12" t="s">
        <v>5</v>
      </c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</row>
    <row r="50" spans="1:16" ht="45" customHeight="1">
      <c r="A50" s="33" t="s">
        <v>116</v>
      </c>
      <c r="B50" s="17" t="s">
        <v>117</v>
      </c>
      <c r="C50" s="34" t="s">
        <v>118</v>
      </c>
      <c r="D50" s="9" t="s">
        <v>22</v>
      </c>
      <c r="E50" s="63"/>
      <c r="F50" s="63"/>
      <c r="G50" s="63"/>
      <c r="H50" s="63"/>
      <c r="I50" s="63"/>
      <c r="J50" s="63"/>
      <c r="K50" s="63"/>
      <c r="L50" s="63"/>
      <c r="M50" s="10" t="s">
        <v>35</v>
      </c>
      <c r="N50" s="63"/>
      <c r="O50" s="63"/>
      <c r="P50" s="63"/>
    </row>
    <row r="51" spans="1:16" ht="41.45" customHeight="1">
      <c r="A51" s="8" t="s">
        <v>119</v>
      </c>
      <c r="B51" s="17" t="s">
        <v>120</v>
      </c>
      <c r="C51" s="34" t="s">
        <v>118</v>
      </c>
      <c r="D51" s="9" t="s">
        <v>22</v>
      </c>
      <c r="E51" s="63"/>
      <c r="F51" s="63"/>
      <c r="G51" s="63"/>
      <c r="H51" s="63"/>
      <c r="I51" s="63"/>
      <c r="J51" s="63"/>
      <c r="K51" s="63"/>
      <c r="L51" s="63"/>
      <c r="M51" s="10" t="s">
        <v>35</v>
      </c>
      <c r="N51" s="63"/>
      <c r="O51" s="63"/>
      <c r="P51" s="63"/>
    </row>
    <row r="52" spans="1:16" ht="30" customHeight="1">
      <c r="A52" s="33" t="s">
        <v>121</v>
      </c>
      <c r="B52" s="17" t="s">
        <v>122</v>
      </c>
      <c r="C52" s="34" t="s">
        <v>123</v>
      </c>
      <c r="D52" s="9" t="s">
        <v>124</v>
      </c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</row>
    <row r="53" spans="1:16" ht="27" customHeight="1">
      <c r="A53" s="33" t="s">
        <v>125</v>
      </c>
      <c r="B53" s="17" t="s">
        <v>126</v>
      </c>
      <c r="C53" s="34" t="s">
        <v>127</v>
      </c>
      <c r="D53" s="9" t="s">
        <v>39</v>
      </c>
      <c r="E53" s="11" t="s">
        <v>35</v>
      </c>
      <c r="F53" s="11" t="s">
        <v>35</v>
      </c>
      <c r="G53" s="11" t="s">
        <v>35</v>
      </c>
      <c r="H53" s="11" t="s">
        <v>35</v>
      </c>
      <c r="I53" s="11" t="s">
        <v>35</v>
      </c>
      <c r="J53" s="11" t="s">
        <v>35</v>
      </c>
      <c r="K53" s="11" t="s">
        <v>35</v>
      </c>
      <c r="L53" s="11" t="s">
        <v>35</v>
      </c>
      <c r="M53" s="11"/>
      <c r="N53" s="11"/>
      <c r="O53" s="11"/>
      <c r="P53" s="11"/>
    </row>
    <row r="54" spans="1:16" ht="15.75" customHeight="1">
      <c r="A54" s="105" t="s">
        <v>128</v>
      </c>
      <c r="B54" s="110"/>
      <c r="C54" s="111"/>
      <c r="D54" s="12" t="s">
        <v>5</v>
      </c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</row>
    <row r="55" spans="1:16" ht="35.25" customHeight="1">
      <c r="A55" s="33" t="s">
        <v>129</v>
      </c>
      <c r="B55" s="17" t="s">
        <v>130</v>
      </c>
      <c r="C55" s="34" t="s">
        <v>131</v>
      </c>
      <c r="D55" s="9" t="s">
        <v>94</v>
      </c>
      <c r="E55" s="79"/>
      <c r="F55" s="79"/>
      <c r="G55" s="79"/>
      <c r="H55" s="79"/>
      <c r="I55" s="79"/>
      <c r="J55" s="11" t="s">
        <v>35</v>
      </c>
      <c r="K55" s="79"/>
      <c r="L55" s="79"/>
      <c r="M55" s="79"/>
      <c r="N55" s="79"/>
      <c r="O55" s="79"/>
      <c r="P55" s="32"/>
    </row>
    <row r="56" spans="1:16" ht="35.25" customHeight="1">
      <c r="A56" s="33" t="s">
        <v>132</v>
      </c>
      <c r="B56" s="17" t="s">
        <v>133</v>
      </c>
      <c r="C56" s="18" t="s">
        <v>134</v>
      </c>
      <c r="D56" s="9" t="s">
        <v>39</v>
      </c>
      <c r="E56" s="72" t="s">
        <v>35</v>
      </c>
      <c r="F56" s="72" t="s">
        <v>35</v>
      </c>
      <c r="G56" s="72" t="s">
        <v>35</v>
      </c>
      <c r="H56" s="72" t="s">
        <v>35</v>
      </c>
      <c r="I56" s="72" t="s">
        <v>35</v>
      </c>
      <c r="J56" s="11" t="s">
        <v>35</v>
      </c>
      <c r="K56" s="11" t="s">
        <v>35</v>
      </c>
      <c r="L56" s="11" t="s">
        <v>35</v>
      </c>
      <c r="M56" s="11"/>
      <c r="N56" s="11"/>
      <c r="O56" s="11"/>
      <c r="P56" s="11"/>
    </row>
    <row r="57" spans="1:16" ht="35.25" customHeight="1">
      <c r="A57" s="33" t="s">
        <v>135</v>
      </c>
      <c r="B57" s="17" t="s">
        <v>136</v>
      </c>
      <c r="C57" s="18" t="s">
        <v>134</v>
      </c>
      <c r="D57" s="9" t="s">
        <v>39</v>
      </c>
      <c r="E57" s="69"/>
      <c r="F57" s="69"/>
      <c r="G57" s="69"/>
      <c r="H57" s="69"/>
      <c r="I57" s="69"/>
      <c r="J57" s="11"/>
      <c r="K57" s="11"/>
      <c r="L57" s="11"/>
      <c r="M57" s="11"/>
      <c r="N57" s="11"/>
      <c r="O57" s="11"/>
      <c r="P57" s="11"/>
    </row>
    <row r="58" spans="1:16" ht="35.25" customHeight="1">
      <c r="A58" s="33" t="s">
        <v>137</v>
      </c>
      <c r="B58" s="17" t="s">
        <v>138</v>
      </c>
      <c r="C58" s="18" t="s">
        <v>134</v>
      </c>
      <c r="D58" s="9" t="s">
        <v>39</v>
      </c>
      <c r="E58" s="69" t="s">
        <v>139</v>
      </c>
      <c r="F58" s="69" t="s">
        <v>139</v>
      </c>
      <c r="G58" s="11" t="s">
        <v>35</v>
      </c>
      <c r="H58" s="11" t="s">
        <v>35</v>
      </c>
      <c r="I58" s="11" t="s">
        <v>35</v>
      </c>
      <c r="J58" s="11" t="s">
        <v>35</v>
      </c>
      <c r="K58" s="11" t="s">
        <v>35</v>
      </c>
      <c r="L58" s="11" t="s">
        <v>35</v>
      </c>
      <c r="M58" s="11"/>
      <c r="N58" s="11"/>
      <c r="O58" s="11"/>
      <c r="P58" s="11"/>
    </row>
    <row r="59" spans="1:16" ht="35.25" customHeight="1">
      <c r="A59" s="33" t="s">
        <v>140</v>
      </c>
      <c r="B59" s="17" t="s">
        <v>141</v>
      </c>
      <c r="C59" s="18" t="s">
        <v>134</v>
      </c>
      <c r="D59" s="9" t="s">
        <v>39</v>
      </c>
      <c r="E59" s="72" t="s">
        <v>35</v>
      </c>
      <c r="F59" s="72" t="s">
        <v>35</v>
      </c>
      <c r="G59" s="72" t="s">
        <v>35</v>
      </c>
      <c r="H59" s="11" t="s">
        <v>35</v>
      </c>
      <c r="I59" s="11" t="s">
        <v>35</v>
      </c>
      <c r="J59" s="11"/>
      <c r="K59" s="11" t="s">
        <v>35</v>
      </c>
      <c r="L59" s="11" t="s">
        <v>35</v>
      </c>
      <c r="M59" s="11"/>
      <c r="N59" s="11"/>
      <c r="O59" s="11"/>
      <c r="P59" s="11"/>
    </row>
    <row r="60" spans="1:16" ht="35.25" customHeight="1">
      <c r="A60" s="18" t="s">
        <v>142</v>
      </c>
      <c r="B60" s="17" t="s">
        <v>143</v>
      </c>
      <c r="C60" s="34" t="s">
        <v>131</v>
      </c>
      <c r="D60" s="9" t="s">
        <v>94</v>
      </c>
      <c r="E60" s="79"/>
      <c r="F60" s="79"/>
      <c r="G60" s="72" t="s">
        <v>35</v>
      </c>
      <c r="H60" s="79"/>
      <c r="I60" s="79"/>
      <c r="J60" s="79"/>
      <c r="K60" s="79"/>
      <c r="L60" s="32" t="s">
        <v>35</v>
      </c>
      <c r="M60" s="79"/>
      <c r="N60" s="79"/>
      <c r="O60" s="79"/>
      <c r="P60" s="79"/>
    </row>
    <row r="61" spans="1:16" ht="35.25" customHeight="1">
      <c r="A61" s="33" t="s">
        <v>144</v>
      </c>
      <c r="B61" s="17" t="s">
        <v>145</v>
      </c>
      <c r="C61" s="18" t="s">
        <v>146</v>
      </c>
      <c r="D61" s="9" t="s">
        <v>22</v>
      </c>
      <c r="E61" s="79"/>
      <c r="F61" s="79"/>
      <c r="G61" s="79"/>
      <c r="H61" s="79"/>
      <c r="I61" s="79"/>
      <c r="J61" s="79"/>
      <c r="K61" s="32" t="s">
        <v>35</v>
      </c>
      <c r="L61" s="79"/>
      <c r="M61" s="79"/>
      <c r="N61" s="79"/>
      <c r="O61" s="79"/>
      <c r="P61" s="79"/>
    </row>
    <row r="62" spans="1:16" ht="35.25" customHeight="1">
      <c r="A62" s="36" t="s">
        <v>147</v>
      </c>
      <c r="B62" s="37" t="s">
        <v>148</v>
      </c>
      <c r="C62" s="18" t="s">
        <v>134</v>
      </c>
      <c r="D62" s="9" t="s">
        <v>39</v>
      </c>
      <c r="E62" s="11" t="s">
        <v>149</v>
      </c>
      <c r="F62" s="11" t="s">
        <v>149</v>
      </c>
      <c r="G62" s="11" t="s">
        <v>149</v>
      </c>
      <c r="H62" s="11" t="s">
        <v>150</v>
      </c>
      <c r="I62" s="11" t="s">
        <v>150</v>
      </c>
      <c r="J62" s="11" t="s">
        <v>35</v>
      </c>
      <c r="K62" s="11" t="s">
        <v>35</v>
      </c>
      <c r="L62" s="11" t="s">
        <v>35</v>
      </c>
      <c r="M62" s="11"/>
      <c r="N62" s="11"/>
      <c r="O62" s="11"/>
      <c r="P62" s="11"/>
    </row>
    <row r="63" spans="1:16" ht="35.25" customHeight="1">
      <c r="A63" s="65" t="s">
        <v>151</v>
      </c>
      <c r="B63" s="66" t="s">
        <v>152</v>
      </c>
      <c r="C63" s="67" t="s">
        <v>134</v>
      </c>
      <c r="D63" s="56" t="s">
        <v>39</v>
      </c>
      <c r="E63" s="60"/>
      <c r="F63" s="60"/>
      <c r="G63" s="60"/>
      <c r="H63" s="60" t="s">
        <v>153</v>
      </c>
      <c r="I63" s="60"/>
      <c r="J63" s="60"/>
      <c r="K63" s="60"/>
      <c r="L63" s="60"/>
      <c r="M63" s="60"/>
      <c r="N63" s="60"/>
      <c r="O63" s="60"/>
      <c r="P63" s="60"/>
    </row>
    <row r="64" spans="1:16" ht="15.75" customHeight="1">
      <c r="A64" s="106" t="s">
        <v>154</v>
      </c>
      <c r="B64" s="108"/>
      <c r="C64" s="111"/>
      <c r="D64" s="12" t="s">
        <v>5</v>
      </c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</row>
    <row r="65" spans="1:17" ht="29.25" customHeight="1">
      <c r="A65" s="33" t="s">
        <v>155</v>
      </c>
      <c r="B65" s="17" t="s">
        <v>156</v>
      </c>
      <c r="C65" s="34" t="s">
        <v>71</v>
      </c>
      <c r="D65" s="9" t="s">
        <v>22</v>
      </c>
      <c r="E65" s="60"/>
      <c r="F65" s="60"/>
      <c r="G65" s="60"/>
      <c r="H65" s="60"/>
      <c r="I65" s="60"/>
      <c r="J65" s="60"/>
      <c r="K65" s="60"/>
      <c r="L65" s="60"/>
      <c r="M65" s="10" t="s">
        <v>27</v>
      </c>
      <c r="N65" s="60"/>
      <c r="O65" s="60"/>
      <c r="P65" s="60"/>
    </row>
    <row r="66" spans="1:17" ht="29.25" customHeight="1">
      <c r="A66" s="33" t="s">
        <v>157</v>
      </c>
      <c r="B66" s="17" t="s">
        <v>158</v>
      </c>
      <c r="C66" s="34" t="s">
        <v>71</v>
      </c>
      <c r="D66" s="9" t="s">
        <v>22</v>
      </c>
      <c r="E66" s="60"/>
      <c r="F66" s="60"/>
      <c r="G66" s="60"/>
      <c r="H66" s="60"/>
      <c r="I66" s="60"/>
      <c r="J66" s="60"/>
      <c r="K66" s="60"/>
      <c r="L66" s="60"/>
      <c r="M66" s="10" t="s">
        <v>27</v>
      </c>
      <c r="N66" s="60"/>
      <c r="O66" s="60"/>
      <c r="P66" s="60"/>
    </row>
    <row r="67" spans="1:17" ht="29.25" customHeight="1">
      <c r="A67" s="33" t="s">
        <v>159</v>
      </c>
      <c r="B67" s="17" t="s">
        <v>160</v>
      </c>
      <c r="C67" s="34" t="s">
        <v>71</v>
      </c>
      <c r="D67" s="9" t="s">
        <v>22</v>
      </c>
      <c r="E67" s="60"/>
      <c r="F67" s="60"/>
      <c r="G67" s="60"/>
      <c r="H67" s="60"/>
      <c r="I67" s="60"/>
      <c r="J67" s="60"/>
      <c r="K67" s="60"/>
      <c r="L67" s="60"/>
      <c r="M67" s="10" t="s">
        <v>27</v>
      </c>
      <c r="N67" s="60"/>
      <c r="O67" s="60"/>
      <c r="P67" s="60"/>
    </row>
    <row r="68" spans="1:17" ht="29.25" customHeight="1">
      <c r="A68" s="18" t="s">
        <v>161</v>
      </c>
      <c r="B68" s="17" t="s">
        <v>162</v>
      </c>
      <c r="C68" s="34" t="s">
        <v>71</v>
      </c>
      <c r="D68" s="9" t="s">
        <v>22</v>
      </c>
      <c r="E68" s="60"/>
      <c r="F68" s="60"/>
      <c r="G68" s="60"/>
      <c r="H68" s="10" t="s">
        <v>163</v>
      </c>
      <c r="I68" s="60"/>
      <c r="J68" s="60"/>
      <c r="K68" s="60"/>
      <c r="L68" s="60"/>
      <c r="M68" s="60"/>
      <c r="N68" s="60"/>
      <c r="O68" s="60"/>
      <c r="P68" s="60"/>
    </row>
    <row r="69" spans="1:17" ht="29.25" customHeight="1">
      <c r="A69" s="18" t="s">
        <v>164</v>
      </c>
      <c r="B69" s="17" t="s">
        <v>165</v>
      </c>
      <c r="C69" s="34" t="s">
        <v>71</v>
      </c>
      <c r="D69" s="9" t="s">
        <v>22</v>
      </c>
      <c r="E69" s="10"/>
      <c r="F69" s="10"/>
      <c r="G69" s="10"/>
      <c r="H69" s="10"/>
      <c r="I69" s="10"/>
      <c r="J69" s="10"/>
      <c r="K69" s="11"/>
      <c r="L69" s="10"/>
      <c r="M69" s="10"/>
      <c r="N69" s="10"/>
      <c r="O69" s="10"/>
      <c r="P69" s="10"/>
    </row>
    <row r="70" spans="1:17" ht="29.25" customHeight="1">
      <c r="A70" s="18" t="s">
        <v>166</v>
      </c>
      <c r="B70" s="17" t="s">
        <v>167</v>
      </c>
      <c r="C70" s="34" t="s">
        <v>71</v>
      </c>
      <c r="D70" s="9" t="s">
        <v>22</v>
      </c>
      <c r="E70" s="60"/>
      <c r="F70" s="60"/>
      <c r="G70" s="60"/>
      <c r="H70" s="60"/>
      <c r="I70" s="60"/>
      <c r="J70" s="60"/>
      <c r="K70" s="60"/>
      <c r="L70" s="10" t="s">
        <v>168</v>
      </c>
      <c r="M70" s="60"/>
      <c r="N70" s="60"/>
      <c r="O70" s="60"/>
      <c r="P70" s="60"/>
    </row>
    <row r="71" spans="1:17" ht="29.25" customHeight="1">
      <c r="A71" s="18" t="s">
        <v>169</v>
      </c>
      <c r="B71" s="17" t="s">
        <v>170</v>
      </c>
      <c r="C71" s="34" t="s">
        <v>71</v>
      </c>
      <c r="D71" s="9" t="s">
        <v>22</v>
      </c>
      <c r="E71" s="60"/>
      <c r="F71" s="60"/>
      <c r="G71" s="60"/>
      <c r="H71" s="60"/>
      <c r="I71" s="60"/>
      <c r="J71" s="60"/>
      <c r="K71" s="60"/>
      <c r="L71" s="60"/>
      <c r="M71" s="10" t="s">
        <v>27</v>
      </c>
      <c r="N71" s="60"/>
      <c r="O71" s="60"/>
      <c r="P71" s="60"/>
    </row>
    <row r="72" spans="1:17" ht="29.25" customHeight="1">
      <c r="A72" s="18" t="s">
        <v>171</v>
      </c>
      <c r="B72" s="17" t="s">
        <v>172</v>
      </c>
      <c r="C72" s="34" t="s">
        <v>71</v>
      </c>
      <c r="D72" s="9" t="s">
        <v>22</v>
      </c>
      <c r="E72" s="60"/>
      <c r="F72" s="60"/>
      <c r="G72" s="60"/>
      <c r="H72" s="60"/>
      <c r="I72" s="60"/>
      <c r="J72" s="60"/>
      <c r="K72" s="60"/>
      <c r="L72" s="60"/>
      <c r="M72" s="10" t="s">
        <v>27</v>
      </c>
      <c r="N72" s="60"/>
      <c r="O72" s="60"/>
      <c r="P72" s="60"/>
    </row>
    <row r="73" spans="1:17" ht="29.25" customHeight="1">
      <c r="A73" s="18" t="s">
        <v>173</v>
      </c>
      <c r="B73" s="17" t="s">
        <v>174</v>
      </c>
      <c r="C73" s="34" t="s">
        <v>71</v>
      </c>
      <c r="D73" s="9" t="s">
        <v>22</v>
      </c>
      <c r="E73" s="60"/>
      <c r="F73" s="60"/>
      <c r="G73" s="60"/>
      <c r="H73" s="60"/>
      <c r="I73" s="60"/>
      <c r="J73" s="60"/>
      <c r="K73" s="60"/>
      <c r="L73" s="60"/>
      <c r="M73" s="10" t="s">
        <v>27</v>
      </c>
      <c r="N73" s="60"/>
      <c r="O73" s="60"/>
      <c r="P73" s="60"/>
    </row>
    <row r="74" spans="1:17" ht="29.25" customHeight="1">
      <c r="A74" s="18" t="s">
        <v>175</v>
      </c>
      <c r="B74" s="17" t="s">
        <v>176</v>
      </c>
      <c r="C74" s="34" t="s">
        <v>71</v>
      </c>
      <c r="D74" s="9" t="s">
        <v>22</v>
      </c>
      <c r="E74" s="60"/>
      <c r="F74" s="60"/>
      <c r="G74" s="60"/>
      <c r="H74" s="60"/>
      <c r="I74" s="60"/>
      <c r="J74" s="60"/>
      <c r="K74" s="60"/>
      <c r="L74" s="60"/>
      <c r="M74" s="10" t="s">
        <v>27</v>
      </c>
      <c r="N74" s="60"/>
      <c r="O74" s="60"/>
      <c r="P74" s="60"/>
    </row>
    <row r="75" spans="1:17" ht="29.25" customHeight="1">
      <c r="A75" s="18" t="s">
        <v>177</v>
      </c>
      <c r="B75" s="17" t="str">
        <f>HYPERLINK("https://drive.google.com/open?id=17S25423f97_wf8gH_lL-zdE2TDRwx1AlI-R1oEeqMYU","RC-35")</f>
        <v>RC-35</v>
      </c>
      <c r="C75" s="34" t="s">
        <v>71</v>
      </c>
      <c r="D75" s="9" t="s">
        <v>22</v>
      </c>
      <c r="E75" s="60"/>
      <c r="F75" s="60"/>
      <c r="G75" s="10" t="s">
        <v>35</v>
      </c>
      <c r="H75" s="60"/>
      <c r="I75" s="60"/>
      <c r="J75" s="60"/>
      <c r="K75" s="60"/>
      <c r="L75" s="60"/>
      <c r="M75" s="60"/>
      <c r="N75" s="60"/>
      <c r="O75" s="60"/>
      <c r="P75" s="60"/>
    </row>
    <row r="76" spans="1:17" ht="15.75" customHeight="1">
      <c r="A76" s="97" t="s">
        <v>178</v>
      </c>
      <c r="B76" s="110"/>
      <c r="C76" s="111"/>
      <c r="D76" s="12" t="s">
        <v>5</v>
      </c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</row>
    <row r="77" spans="1:17" ht="32.25" customHeight="1">
      <c r="A77" s="18" t="s">
        <v>179</v>
      </c>
      <c r="B77" s="17" t="s">
        <v>180</v>
      </c>
      <c r="C77" s="18" t="s">
        <v>134</v>
      </c>
      <c r="D77" s="9" t="s">
        <v>39</v>
      </c>
      <c r="E77" s="10" t="s">
        <v>96</v>
      </c>
      <c r="F77" s="10" t="s">
        <v>96</v>
      </c>
      <c r="G77" s="10" t="s">
        <v>96</v>
      </c>
      <c r="H77" s="10" t="s">
        <v>35</v>
      </c>
      <c r="I77" s="10" t="s">
        <v>35</v>
      </c>
      <c r="J77" s="10" t="s">
        <v>35</v>
      </c>
      <c r="K77" s="10" t="s">
        <v>35</v>
      </c>
      <c r="L77" s="10"/>
      <c r="M77" s="10"/>
      <c r="N77" s="10"/>
      <c r="O77" s="10"/>
      <c r="P77" s="10"/>
    </row>
    <row r="78" spans="1:17" ht="32.25" customHeight="1">
      <c r="A78" s="61" t="s">
        <v>181</v>
      </c>
      <c r="B78" s="17" t="s">
        <v>182</v>
      </c>
      <c r="C78" s="54" t="s">
        <v>134</v>
      </c>
      <c r="D78" s="56" t="s">
        <v>39</v>
      </c>
      <c r="E78" s="64"/>
      <c r="F78" s="64"/>
      <c r="G78" s="64"/>
      <c r="H78" s="64"/>
      <c r="I78" s="64"/>
      <c r="J78" s="64"/>
      <c r="K78" s="64"/>
      <c r="L78" s="64"/>
      <c r="M78" s="64"/>
      <c r="N78" s="64"/>
      <c r="O78" s="64"/>
      <c r="P78" s="64"/>
      <c r="Q78" t="s">
        <v>183</v>
      </c>
    </row>
    <row r="79" spans="1:17" ht="32.25" customHeight="1">
      <c r="A79" s="18" t="s">
        <v>184</v>
      </c>
      <c r="B79" s="17" t="s">
        <v>185</v>
      </c>
      <c r="C79" s="18" t="s">
        <v>134</v>
      </c>
      <c r="D79" s="9" t="s">
        <v>39</v>
      </c>
      <c r="E79" s="11" t="s">
        <v>35</v>
      </c>
      <c r="F79" s="11" t="s">
        <v>35</v>
      </c>
      <c r="G79" s="11" t="s">
        <v>35</v>
      </c>
      <c r="H79" s="11" t="s">
        <v>35</v>
      </c>
      <c r="I79" s="11" t="s">
        <v>35</v>
      </c>
      <c r="J79" s="11" t="s">
        <v>35</v>
      </c>
      <c r="K79" s="11" t="s">
        <v>35</v>
      </c>
      <c r="L79" s="11" t="s">
        <v>35</v>
      </c>
      <c r="M79" s="11"/>
      <c r="N79" s="11"/>
      <c r="O79" s="11"/>
      <c r="P79" s="11"/>
    </row>
    <row r="80" spans="1:17" ht="47.45" customHeight="1">
      <c r="A80" s="18" t="s">
        <v>186</v>
      </c>
      <c r="B80" s="17" t="s">
        <v>187</v>
      </c>
      <c r="C80" s="38" t="s">
        <v>188</v>
      </c>
      <c r="D80" s="9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</row>
    <row r="81" spans="1:17" ht="32.25" customHeight="1">
      <c r="A81" s="39" t="s">
        <v>189</v>
      </c>
      <c r="B81" s="40" t="s">
        <v>190</v>
      </c>
      <c r="C81" s="8" t="s">
        <v>84</v>
      </c>
      <c r="D81" s="9" t="s">
        <v>60</v>
      </c>
      <c r="E81" s="11" t="s">
        <v>35</v>
      </c>
      <c r="F81" s="11" t="s">
        <v>35</v>
      </c>
      <c r="G81" s="11" t="s">
        <v>35</v>
      </c>
      <c r="H81" s="11" t="s">
        <v>35</v>
      </c>
      <c r="I81" s="11" t="s">
        <v>35</v>
      </c>
      <c r="J81" s="11" t="s">
        <v>35</v>
      </c>
      <c r="K81" s="11" t="s">
        <v>35</v>
      </c>
      <c r="L81" s="11" t="s">
        <v>35</v>
      </c>
      <c r="M81" s="11"/>
      <c r="N81" s="11"/>
      <c r="O81" s="11"/>
      <c r="P81" s="11"/>
    </row>
    <row r="82" spans="1:17" ht="32.25" customHeight="1">
      <c r="A82" s="39" t="s">
        <v>191</v>
      </c>
      <c r="B82" s="40" t="s">
        <v>192</v>
      </c>
      <c r="C82" s="8" t="s">
        <v>84</v>
      </c>
      <c r="D82" s="9" t="s">
        <v>60</v>
      </c>
      <c r="E82" s="11" t="s">
        <v>35</v>
      </c>
      <c r="F82" s="11" t="s">
        <v>35</v>
      </c>
      <c r="G82" s="11" t="s">
        <v>35</v>
      </c>
      <c r="H82" s="11" t="s">
        <v>35</v>
      </c>
      <c r="I82" s="11" t="s">
        <v>35</v>
      </c>
      <c r="J82" s="11" t="s">
        <v>35</v>
      </c>
      <c r="K82" s="11" t="s">
        <v>35</v>
      </c>
      <c r="L82" s="11" t="s">
        <v>35</v>
      </c>
      <c r="M82" s="11"/>
      <c r="N82" s="11"/>
      <c r="O82" s="11"/>
      <c r="P82" s="11"/>
    </row>
    <row r="83" spans="1:17" ht="32.25" customHeight="1">
      <c r="A83" s="18" t="s">
        <v>193</v>
      </c>
      <c r="B83" s="17" t="s">
        <v>194</v>
      </c>
      <c r="C83" s="18" t="s">
        <v>146</v>
      </c>
      <c r="D83" s="9" t="s">
        <v>22</v>
      </c>
      <c r="E83" s="64"/>
      <c r="F83" s="64"/>
      <c r="G83" s="64"/>
      <c r="H83" s="64"/>
      <c r="I83" s="64"/>
      <c r="J83" s="64"/>
      <c r="K83" s="64"/>
      <c r="L83" s="11" t="s">
        <v>15</v>
      </c>
      <c r="M83" s="64"/>
      <c r="N83" s="64"/>
      <c r="O83" s="64"/>
      <c r="P83" s="64"/>
    </row>
    <row r="84" spans="1:17" ht="32.25" customHeight="1">
      <c r="A84" s="42" t="s">
        <v>195</v>
      </c>
      <c r="B84" s="43" t="s">
        <v>196</v>
      </c>
      <c r="C84" s="34" t="s">
        <v>33</v>
      </c>
      <c r="D84" s="9" t="s">
        <v>34</v>
      </c>
      <c r="E84" s="41"/>
      <c r="F84" s="41"/>
      <c r="G84" s="41"/>
      <c r="H84" s="41"/>
      <c r="I84" s="41"/>
      <c r="J84" s="11"/>
      <c r="K84" s="41"/>
      <c r="L84" s="11"/>
      <c r="M84" s="41"/>
      <c r="N84" s="41"/>
      <c r="O84" s="41"/>
      <c r="P84" s="11"/>
    </row>
    <row r="85" spans="1:17" ht="15.75" customHeight="1">
      <c r="A85" s="105" t="s">
        <v>197</v>
      </c>
      <c r="B85" s="110"/>
      <c r="C85" s="111"/>
      <c r="D85" s="12" t="s">
        <v>5</v>
      </c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</row>
    <row r="86" spans="1:17" ht="35.25" customHeight="1">
      <c r="A86" s="18" t="s">
        <v>198</v>
      </c>
      <c r="B86" s="17" t="s">
        <v>199</v>
      </c>
      <c r="C86" s="18" t="s">
        <v>71</v>
      </c>
      <c r="D86" s="9" t="s">
        <v>22</v>
      </c>
      <c r="E86" s="63"/>
      <c r="F86" s="63"/>
      <c r="G86" s="63"/>
      <c r="H86" s="63"/>
      <c r="I86" s="63"/>
      <c r="J86" s="63"/>
      <c r="K86" s="63"/>
      <c r="L86" s="63"/>
      <c r="M86" s="32" t="s">
        <v>35</v>
      </c>
      <c r="N86" s="63"/>
      <c r="O86" s="63"/>
      <c r="P86" s="63"/>
    </row>
    <row r="87" spans="1:17" ht="48" customHeight="1">
      <c r="A87" s="61" t="s">
        <v>200</v>
      </c>
      <c r="B87" s="17" t="s">
        <v>201</v>
      </c>
      <c r="C87" s="54" t="s">
        <v>202</v>
      </c>
      <c r="D87" s="62" t="s">
        <v>96</v>
      </c>
      <c r="E87" s="63" t="s">
        <v>96</v>
      </c>
      <c r="F87" s="63"/>
      <c r="G87" s="63"/>
      <c r="H87" s="63"/>
      <c r="I87" s="63"/>
      <c r="J87" s="63"/>
      <c r="K87" s="63"/>
      <c r="L87" s="63"/>
      <c r="M87" s="63"/>
      <c r="N87" s="63"/>
      <c r="O87" s="63"/>
      <c r="P87" s="63"/>
      <c r="Q87" t="s">
        <v>203</v>
      </c>
    </row>
    <row r="88" spans="1:17" ht="35.25" customHeight="1">
      <c r="A88" s="54" t="s">
        <v>204</v>
      </c>
      <c r="B88" s="45" t="s">
        <v>205</v>
      </c>
      <c r="C88" s="54" t="s">
        <v>206</v>
      </c>
      <c r="D88" s="56" t="s">
        <v>22</v>
      </c>
      <c r="E88" s="63" t="s">
        <v>96</v>
      </c>
      <c r="F88" s="63"/>
      <c r="G88" s="63"/>
      <c r="H88" s="63"/>
      <c r="I88" s="63"/>
      <c r="J88" s="63"/>
      <c r="K88" s="60"/>
      <c r="L88" s="63"/>
      <c r="M88" s="63"/>
      <c r="N88" s="63"/>
      <c r="O88" s="63"/>
      <c r="P88" s="63"/>
      <c r="Q88" t="s">
        <v>203</v>
      </c>
    </row>
    <row r="89" spans="1:17" ht="35.25" customHeight="1">
      <c r="A89" s="54" t="s">
        <v>207</v>
      </c>
      <c r="B89" s="45" t="s">
        <v>208</v>
      </c>
      <c r="C89" s="54" t="s">
        <v>206</v>
      </c>
      <c r="D89" s="56" t="s">
        <v>22</v>
      </c>
      <c r="E89" s="63" t="s">
        <v>96</v>
      </c>
      <c r="F89" s="63"/>
      <c r="G89" s="63"/>
      <c r="H89" s="63"/>
      <c r="I89" s="63"/>
      <c r="J89" s="63"/>
      <c r="K89" s="60"/>
      <c r="L89" s="63"/>
      <c r="M89" s="63"/>
      <c r="N89" s="63"/>
      <c r="O89" s="63"/>
      <c r="P89" s="63"/>
      <c r="Q89" t="s">
        <v>203</v>
      </c>
    </row>
    <row r="90" spans="1:17" ht="15.75" customHeight="1">
      <c r="A90" s="105" t="s">
        <v>209</v>
      </c>
      <c r="B90" s="110"/>
      <c r="C90" s="111"/>
      <c r="D90" s="12" t="s">
        <v>5</v>
      </c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0"/>
    </row>
    <row r="91" spans="1:17" ht="44.25" customHeight="1">
      <c r="A91" s="18" t="s">
        <v>210</v>
      </c>
      <c r="B91" s="17" t="s">
        <v>211</v>
      </c>
      <c r="C91" s="34" t="s">
        <v>212</v>
      </c>
      <c r="D91" s="9" t="s">
        <v>94</v>
      </c>
      <c r="E91" s="63"/>
      <c r="F91" s="63"/>
      <c r="G91" s="10" t="s">
        <v>213</v>
      </c>
      <c r="H91" s="63"/>
      <c r="I91" s="63"/>
      <c r="J91" s="63"/>
      <c r="K91" s="63"/>
      <c r="L91" s="63"/>
      <c r="M91" s="77">
        <v>46268</v>
      </c>
      <c r="N91" s="63"/>
      <c r="O91" s="63"/>
      <c r="P91" s="63"/>
    </row>
    <row r="92" spans="1:17" ht="44.25" customHeight="1">
      <c r="A92" s="54" t="s">
        <v>214</v>
      </c>
      <c r="B92" s="17" t="s">
        <v>215</v>
      </c>
      <c r="C92" s="59" t="s">
        <v>216</v>
      </c>
      <c r="D92" s="56" t="s">
        <v>39</v>
      </c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t="s">
        <v>217</v>
      </c>
    </row>
    <row r="93" spans="1:17" ht="44.25" customHeight="1">
      <c r="A93" s="54" t="s">
        <v>218</v>
      </c>
      <c r="B93" s="17" t="s">
        <v>219</v>
      </c>
      <c r="C93" s="59" t="s">
        <v>220</v>
      </c>
      <c r="D93" s="56" t="s">
        <v>39</v>
      </c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t="s">
        <v>217</v>
      </c>
    </row>
    <row r="94" spans="1:17" ht="44.25" customHeight="1">
      <c r="A94" s="54" t="s">
        <v>221</v>
      </c>
      <c r="B94" s="17" t="s">
        <v>222</v>
      </c>
      <c r="C94" s="59" t="s">
        <v>220</v>
      </c>
      <c r="D94" s="56" t="s">
        <v>39</v>
      </c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t="s">
        <v>217</v>
      </c>
    </row>
    <row r="95" spans="1:17" ht="44.25" customHeight="1">
      <c r="A95" s="44" t="s">
        <v>223</v>
      </c>
      <c r="B95" s="46" t="s">
        <v>224</v>
      </c>
      <c r="C95" s="44" t="s">
        <v>223</v>
      </c>
      <c r="D95" s="47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</row>
    <row r="96" spans="1:17" ht="44.25" customHeight="1">
      <c r="A96" s="49" t="s">
        <v>225</v>
      </c>
      <c r="B96" s="17" t="s">
        <v>226</v>
      </c>
      <c r="C96" s="34" t="s">
        <v>227</v>
      </c>
      <c r="D96" s="47" t="s">
        <v>228</v>
      </c>
      <c r="E96" s="95"/>
      <c r="F96" s="95"/>
      <c r="G96" s="95"/>
      <c r="H96" s="95"/>
      <c r="I96" s="95"/>
      <c r="J96" s="95"/>
      <c r="K96" s="95"/>
      <c r="L96" s="95"/>
      <c r="M96" s="95"/>
      <c r="N96" s="95"/>
      <c r="O96" s="95"/>
      <c r="P96" s="95"/>
    </row>
    <row r="97" spans="1:17" ht="44.25" customHeight="1">
      <c r="A97" s="18" t="s">
        <v>229</v>
      </c>
      <c r="B97" s="17" t="s">
        <v>230</v>
      </c>
      <c r="C97" s="34" t="s">
        <v>220</v>
      </c>
      <c r="D97" s="9" t="s">
        <v>39</v>
      </c>
      <c r="E97" s="11" t="s">
        <v>35</v>
      </c>
      <c r="F97" s="11" t="s">
        <v>35</v>
      </c>
      <c r="G97" s="11" t="s">
        <v>35</v>
      </c>
      <c r="H97" s="11" t="s">
        <v>35</v>
      </c>
      <c r="I97" s="11" t="s">
        <v>35</v>
      </c>
      <c r="J97" s="11" t="s">
        <v>35</v>
      </c>
      <c r="K97" s="11" t="s">
        <v>35</v>
      </c>
      <c r="L97" s="11" t="s">
        <v>35</v>
      </c>
      <c r="M97" s="11"/>
      <c r="N97" s="11"/>
      <c r="O97" s="11"/>
      <c r="P97" s="11"/>
    </row>
    <row r="98" spans="1:17" ht="44.25" customHeight="1">
      <c r="A98" s="18" t="s">
        <v>229</v>
      </c>
      <c r="B98" s="17" t="s">
        <v>231</v>
      </c>
      <c r="C98" s="34" t="s">
        <v>220</v>
      </c>
      <c r="D98" s="9" t="s">
        <v>39</v>
      </c>
      <c r="E98" s="11" t="s">
        <v>35</v>
      </c>
      <c r="F98" s="11" t="s">
        <v>35</v>
      </c>
      <c r="G98" s="11" t="s">
        <v>35</v>
      </c>
      <c r="H98" s="11" t="s">
        <v>35</v>
      </c>
      <c r="I98" s="11" t="s">
        <v>35</v>
      </c>
      <c r="J98" s="96" t="s">
        <v>35</v>
      </c>
      <c r="K98" s="11" t="s">
        <v>35</v>
      </c>
      <c r="L98" s="11" t="s">
        <v>35</v>
      </c>
      <c r="M98" s="11"/>
      <c r="N98" s="11"/>
      <c r="O98" s="11"/>
      <c r="P98" s="11"/>
    </row>
    <row r="99" spans="1:17" ht="44.25" customHeight="1">
      <c r="A99" s="18" t="s">
        <v>229</v>
      </c>
      <c r="B99" s="17" t="s">
        <v>232</v>
      </c>
      <c r="C99" s="34" t="s">
        <v>220</v>
      </c>
      <c r="D99" s="9" t="s">
        <v>39</v>
      </c>
      <c r="E99" s="11" t="s">
        <v>35</v>
      </c>
      <c r="F99" s="11" t="s">
        <v>35</v>
      </c>
      <c r="G99" s="11" t="s">
        <v>35</v>
      </c>
      <c r="H99" s="11" t="s">
        <v>35</v>
      </c>
      <c r="I99" s="11" t="s">
        <v>35</v>
      </c>
      <c r="J99" s="11" t="s">
        <v>35</v>
      </c>
      <c r="K99" s="11"/>
      <c r="L99" s="11" t="s">
        <v>35</v>
      </c>
      <c r="M99" s="11"/>
      <c r="N99" s="11"/>
      <c r="O99" s="11"/>
      <c r="P99" s="11"/>
    </row>
    <row r="100" spans="1:17" ht="44.25" customHeight="1">
      <c r="A100" s="18" t="s">
        <v>233</v>
      </c>
      <c r="B100" s="17" t="s">
        <v>234</v>
      </c>
      <c r="C100" s="34" t="s">
        <v>235</v>
      </c>
      <c r="D100" s="9" t="s">
        <v>22</v>
      </c>
      <c r="E100" s="60"/>
      <c r="F100" s="60"/>
      <c r="G100" s="60"/>
      <c r="H100" s="60"/>
      <c r="I100" s="60"/>
      <c r="J100" s="60"/>
      <c r="K100" s="10" t="s">
        <v>236</v>
      </c>
      <c r="L100" s="60"/>
      <c r="M100" s="60"/>
      <c r="N100" s="60"/>
      <c r="O100" s="60"/>
      <c r="P100" s="60"/>
    </row>
    <row r="101" spans="1:17" ht="44.25" customHeight="1">
      <c r="A101" s="18" t="s">
        <v>237</v>
      </c>
      <c r="B101" s="17" t="s">
        <v>238</v>
      </c>
      <c r="C101" s="34" t="s">
        <v>239</v>
      </c>
      <c r="D101" s="9" t="s">
        <v>22</v>
      </c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t="s">
        <v>240</v>
      </c>
    </row>
    <row r="102" spans="1:17" ht="44.25" customHeight="1">
      <c r="A102" s="18" t="s">
        <v>241</v>
      </c>
      <c r="B102" s="45" t="s">
        <v>242</v>
      </c>
      <c r="C102" s="18" t="s">
        <v>243</v>
      </c>
      <c r="D102" s="9" t="s">
        <v>75</v>
      </c>
      <c r="E102" s="60"/>
      <c r="F102" s="60"/>
      <c r="G102" s="68">
        <v>46108</v>
      </c>
      <c r="H102" s="60"/>
      <c r="I102" s="60"/>
      <c r="J102" s="50" t="s">
        <v>244</v>
      </c>
      <c r="K102" s="60"/>
      <c r="L102" s="60"/>
      <c r="M102" s="50" t="s">
        <v>27</v>
      </c>
      <c r="N102" s="60"/>
      <c r="O102" s="60"/>
      <c r="P102" s="50"/>
    </row>
    <row r="103" spans="1:17" ht="44.25" customHeight="1">
      <c r="A103" s="54" t="s">
        <v>245</v>
      </c>
      <c r="B103" s="55" t="s">
        <v>246</v>
      </c>
      <c r="C103" s="54" t="s">
        <v>247</v>
      </c>
      <c r="D103" s="56" t="s">
        <v>22</v>
      </c>
      <c r="E103" s="57" t="s">
        <v>248</v>
      </c>
      <c r="F103" s="57" t="s">
        <v>96</v>
      </c>
      <c r="G103" s="57" t="s">
        <v>96</v>
      </c>
      <c r="H103" s="57" t="s">
        <v>96</v>
      </c>
      <c r="I103" s="57" t="s">
        <v>96</v>
      </c>
      <c r="J103" s="57" t="s">
        <v>96</v>
      </c>
      <c r="K103" s="57" t="s">
        <v>96</v>
      </c>
      <c r="L103" s="57" t="s">
        <v>96</v>
      </c>
      <c r="M103" s="57" t="s">
        <v>96</v>
      </c>
      <c r="N103" s="57" t="s">
        <v>96</v>
      </c>
      <c r="O103" s="57" t="s">
        <v>96</v>
      </c>
      <c r="P103" s="57" t="s">
        <v>96</v>
      </c>
    </row>
    <row r="104" spans="1:17" ht="44.25" customHeight="1">
      <c r="A104" s="44" t="s">
        <v>223</v>
      </c>
      <c r="B104" s="45" t="s">
        <v>249</v>
      </c>
      <c r="C104" s="44" t="s">
        <v>223</v>
      </c>
      <c r="D104" s="44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</row>
    <row r="105" spans="1:17" ht="44.25" customHeight="1">
      <c r="A105" s="54" t="s">
        <v>250</v>
      </c>
      <c r="B105" s="17" t="s">
        <v>251</v>
      </c>
      <c r="C105" s="59" t="s">
        <v>134</v>
      </c>
      <c r="D105" s="56" t="s">
        <v>39</v>
      </c>
      <c r="E105" s="57"/>
      <c r="F105" s="57"/>
      <c r="G105" s="57"/>
      <c r="H105" s="57"/>
      <c r="I105" s="57"/>
      <c r="J105" s="57"/>
      <c r="K105" s="57"/>
      <c r="L105" s="57"/>
      <c r="M105" s="57"/>
      <c r="N105" s="57"/>
      <c r="O105" s="57"/>
      <c r="P105" s="57"/>
      <c r="Q105" t="s">
        <v>252</v>
      </c>
    </row>
    <row r="106" spans="1:17" ht="44.25" customHeight="1">
      <c r="A106" s="18" t="s">
        <v>253</v>
      </c>
      <c r="B106" s="17" t="s">
        <v>254</v>
      </c>
      <c r="C106" s="34" t="s">
        <v>71</v>
      </c>
      <c r="D106" s="9" t="s">
        <v>22</v>
      </c>
      <c r="E106" s="57"/>
      <c r="F106" s="57"/>
      <c r="G106" s="57"/>
      <c r="H106" s="57"/>
      <c r="I106" s="57"/>
      <c r="J106" s="57"/>
      <c r="K106" s="57"/>
      <c r="L106" s="10" t="s">
        <v>255</v>
      </c>
      <c r="M106" s="57"/>
      <c r="N106" s="57"/>
      <c r="O106" s="57"/>
      <c r="P106" s="57"/>
    </row>
    <row r="107" spans="1:17" ht="44.25" customHeight="1">
      <c r="A107" s="18" t="s">
        <v>256</v>
      </c>
      <c r="B107" s="17" t="s">
        <v>257</v>
      </c>
      <c r="C107" s="34" t="s">
        <v>134</v>
      </c>
      <c r="D107" s="9" t="s">
        <v>39</v>
      </c>
      <c r="E107" s="11" t="s">
        <v>35</v>
      </c>
      <c r="F107" s="11" t="s">
        <v>35</v>
      </c>
      <c r="G107" s="11" t="s">
        <v>35</v>
      </c>
      <c r="H107" s="11" t="s">
        <v>35</v>
      </c>
      <c r="I107" s="11" t="s">
        <v>35</v>
      </c>
      <c r="J107" s="11" t="s">
        <v>35</v>
      </c>
      <c r="K107" s="11"/>
      <c r="L107" s="11"/>
      <c r="M107" s="11"/>
      <c r="N107" s="11"/>
      <c r="O107" s="11"/>
      <c r="P107" s="11"/>
    </row>
    <row r="108" spans="1:17" ht="44.25" customHeight="1">
      <c r="A108" s="51" t="s">
        <v>258</v>
      </c>
      <c r="B108" s="17" t="s">
        <v>259</v>
      </c>
      <c r="C108" s="27" t="s">
        <v>146</v>
      </c>
      <c r="D108" s="9" t="s">
        <v>22</v>
      </c>
      <c r="E108" s="57"/>
      <c r="F108" s="57"/>
      <c r="G108" s="57"/>
      <c r="H108" s="57"/>
      <c r="I108" s="78">
        <v>46143</v>
      </c>
      <c r="J108" s="57"/>
      <c r="K108" s="57"/>
      <c r="L108" s="57"/>
      <c r="M108" s="57"/>
      <c r="N108" s="57"/>
      <c r="O108" s="57"/>
      <c r="P108" s="57"/>
    </row>
    <row r="109" spans="1:17" ht="44.25" customHeight="1">
      <c r="A109" s="18" t="s">
        <v>260</v>
      </c>
      <c r="B109" s="52" t="s">
        <v>261</v>
      </c>
      <c r="C109" s="34" t="s">
        <v>134</v>
      </c>
      <c r="D109" s="9" t="s">
        <v>39</v>
      </c>
      <c r="E109" s="35" t="s">
        <v>35</v>
      </c>
      <c r="F109" s="35" t="s">
        <v>35</v>
      </c>
      <c r="G109" s="35" t="s">
        <v>35</v>
      </c>
      <c r="H109" s="35" t="s">
        <v>35</v>
      </c>
      <c r="I109" s="35"/>
      <c r="J109" s="35"/>
      <c r="K109" s="35"/>
      <c r="L109" s="35"/>
      <c r="M109" s="35"/>
      <c r="N109" s="35"/>
      <c r="O109" s="35"/>
      <c r="P109" s="35"/>
    </row>
    <row r="110" spans="1:17" ht="44.25" customHeight="1">
      <c r="A110" s="51" t="s">
        <v>262</v>
      </c>
      <c r="B110" s="53" t="s">
        <v>263</v>
      </c>
      <c r="C110" s="34" t="s">
        <v>71</v>
      </c>
      <c r="D110" s="9" t="s">
        <v>22</v>
      </c>
      <c r="E110" s="57"/>
      <c r="F110" s="57"/>
      <c r="G110" s="57"/>
      <c r="H110" s="57"/>
      <c r="I110" s="57"/>
      <c r="J110" s="57"/>
      <c r="K110" s="57"/>
      <c r="L110" s="35" t="s">
        <v>264</v>
      </c>
      <c r="M110" s="57"/>
      <c r="N110" s="57"/>
      <c r="O110" s="57"/>
      <c r="P110" s="57"/>
    </row>
    <row r="111" spans="1:17" ht="44.25" customHeight="1">
      <c r="A111" s="18" t="s">
        <v>265</v>
      </c>
      <c r="B111" s="52" t="s">
        <v>266</v>
      </c>
      <c r="C111" s="34" t="s">
        <v>267</v>
      </c>
      <c r="D111" s="9" t="s">
        <v>268</v>
      </c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</row>
    <row r="112" spans="1:17" ht="19.5" customHeight="1">
      <c r="A112" s="105" t="s">
        <v>269</v>
      </c>
      <c r="B112" s="110"/>
      <c r="C112" s="111"/>
      <c r="D112" s="12" t="s">
        <v>5</v>
      </c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</row>
    <row r="113" spans="1:16" ht="29.45" customHeight="1">
      <c r="A113" s="18" t="s">
        <v>270</v>
      </c>
      <c r="B113" s="47" t="s">
        <v>20</v>
      </c>
      <c r="C113" s="47"/>
      <c r="D113" s="47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</row>
    <row r="114" spans="1:16" ht="28.35" customHeight="1">
      <c r="A114" s="18" t="s">
        <v>271</v>
      </c>
      <c r="B114" s="47" t="s">
        <v>20</v>
      </c>
      <c r="C114" s="47"/>
      <c r="D114" s="47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</row>
    <row r="115" spans="1:16" ht="42.6" customHeight="1">
      <c r="A115" s="34" t="s">
        <v>272</v>
      </c>
      <c r="B115" s="47" t="s">
        <v>20</v>
      </c>
      <c r="C115" s="47"/>
      <c r="D115" s="47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</row>
    <row r="116" spans="1:16" ht="15.75" customHeight="1">
      <c r="A116" s="34" t="s">
        <v>273</v>
      </c>
      <c r="B116" s="47" t="s">
        <v>20</v>
      </c>
      <c r="C116" s="47"/>
      <c r="D116" s="47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</row>
    <row r="117" spans="1:16" ht="15.75" customHeight="1">
      <c r="A117" s="34" t="s">
        <v>274</v>
      </c>
      <c r="B117" s="47" t="s">
        <v>20</v>
      </c>
      <c r="C117" s="47"/>
      <c r="D117" s="47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</row>
    <row r="118" spans="1:16" ht="15.75" customHeight="1">
      <c r="A118" s="34" t="s">
        <v>275</v>
      </c>
      <c r="B118" s="47" t="s">
        <v>20</v>
      </c>
      <c r="C118" s="47"/>
      <c r="D118" s="47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</row>
    <row r="119" spans="1:16" ht="15.75" customHeight="1">
      <c r="A119" s="34" t="s">
        <v>276</v>
      </c>
      <c r="B119" s="47" t="s">
        <v>20</v>
      </c>
      <c r="C119" s="47"/>
      <c r="D119" s="47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</row>
    <row r="120" spans="1:16" ht="15.75" customHeight="1">
      <c r="A120" s="34" t="s">
        <v>277</v>
      </c>
      <c r="B120" s="47" t="s">
        <v>20</v>
      </c>
      <c r="C120" s="47"/>
      <c r="D120" s="47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</row>
    <row r="121" spans="1:16" ht="15.75" customHeight="1">
      <c r="A121" s="34" t="s">
        <v>278</v>
      </c>
      <c r="B121" s="47" t="s">
        <v>20</v>
      </c>
      <c r="C121" s="47"/>
      <c r="D121" s="47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</row>
    <row r="122" spans="1:16" ht="15.75" customHeight="1">
      <c r="A122" s="34" t="s">
        <v>279</v>
      </c>
      <c r="B122" s="47" t="s">
        <v>20</v>
      </c>
      <c r="C122" s="47"/>
      <c r="D122" s="47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</row>
    <row r="123" spans="1:16" ht="15.75" customHeight="1">
      <c r="A123" s="34" t="s">
        <v>280</v>
      </c>
      <c r="B123" s="47" t="s">
        <v>20</v>
      </c>
      <c r="C123" s="47"/>
      <c r="D123" s="47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</row>
    <row r="124" spans="1:16" ht="15.75" customHeight="1">
      <c r="A124" s="34" t="s">
        <v>281</v>
      </c>
      <c r="B124" s="47" t="s">
        <v>20</v>
      </c>
      <c r="C124" s="47"/>
      <c r="D124" s="47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</row>
    <row r="125" spans="1:16" ht="15.75" customHeight="1">
      <c r="A125" s="105" t="s">
        <v>282</v>
      </c>
      <c r="B125" s="110"/>
      <c r="C125" s="111"/>
      <c r="D125" s="12" t="s">
        <v>5</v>
      </c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</row>
    <row r="126" spans="1:16" ht="15.75" customHeight="1">
      <c r="A126" s="83" t="s">
        <v>282</v>
      </c>
      <c r="B126" s="85" t="s">
        <v>283</v>
      </c>
      <c r="C126" s="81" t="s">
        <v>284</v>
      </c>
      <c r="D126" s="82" t="s">
        <v>22</v>
      </c>
      <c r="E126" s="76"/>
      <c r="F126" s="76"/>
      <c r="G126" s="76"/>
      <c r="H126" s="76"/>
      <c r="I126" s="76"/>
      <c r="J126" s="76"/>
      <c r="K126" s="76"/>
      <c r="L126" s="87">
        <v>46247</v>
      </c>
      <c r="M126" s="76"/>
      <c r="N126" s="76"/>
      <c r="O126" s="76"/>
      <c r="P126" s="76"/>
    </row>
    <row r="127" spans="1:16" ht="15.75" customHeight="1">
      <c r="A127" s="107" t="s">
        <v>285</v>
      </c>
      <c r="B127" s="107"/>
      <c r="C127" s="107"/>
      <c r="D127" s="107"/>
      <c r="E127" s="107"/>
      <c r="F127" s="107"/>
      <c r="G127" s="107"/>
      <c r="H127" s="107"/>
      <c r="I127" s="107"/>
      <c r="J127" s="107"/>
      <c r="K127" s="107"/>
      <c r="L127" s="107"/>
      <c r="M127" s="107"/>
      <c r="N127" s="107"/>
      <c r="O127" s="107"/>
      <c r="P127" s="107"/>
    </row>
    <row r="128" spans="1:16" ht="15.75" customHeight="1">
      <c r="A128" s="88" t="s">
        <v>286</v>
      </c>
      <c r="B128" s="89" t="s">
        <v>283</v>
      </c>
      <c r="C128" s="81" t="s">
        <v>284</v>
      </c>
      <c r="D128" s="82" t="s">
        <v>22</v>
      </c>
      <c r="E128" s="76"/>
      <c r="F128" s="76"/>
      <c r="G128" s="76"/>
      <c r="H128" s="76"/>
      <c r="I128" s="76"/>
      <c r="J128" s="76"/>
      <c r="K128" s="76"/>
      <c r="L128" s="86" t="s">
        <v>15</v>
      </c>
      <c r="M128" s="76"/>
      <c r="N128" s="76"/>
      <c r="O128" s="76"/>
      <c r="P128" s="76"/>
    </row>
    <row r="129" spans="1:16" ht="15.75" customHeight="1">
      <c r="A129" s="88" t="s">
        <v>287</v>
      </c>
      <c r="B129" s="90" t="s">
        <v>288</v>
      </c>
      <c r="C129" s="81" t="s">
        <v>284</v>
      </c>
      <c r="D129" s="82" t="s">
        <v>22</v>
      </c>
      <c r="E129" s="76"/>
      <c r="F129" s="76"/>
      <c r="G129" s="76"/>
      <c r="H129" s="76"/>
      <c r="I129" s="76"/>
      <c r="J129" s="76"/>
      <c r="K129" s="76"/>
      <c r="L129" s="86" t="s">
        <v>15</v>
      </c>
      <c r="M129" s="76"/>
      <c r="N129" s="76"/>
      <c r="O129" s="76"/>
      <c r="P129" s="76"/>
    </row>
    <row r="130" spans="1:16" ht="15.75" customHeight="1">
      <c r="A130" s="88" t="s">
        <v>289</v>
      </c>
      <c r="B130" s="90" t="s">
        <v>96</v>
      </c>
      <c r="C130" s="81" t="s">
        <v>284</v>
      </c>
      <c r="D130" s="82" t="s">
        <v>22</v>
      </c>
      <c r="E130" s="86" t="s">
        <v>8</v>
      </c>
      <c r="F130" s="76"/>
      <c r="G130" s="76"/>
      <c r="H130" s="76"/>
      <c r="I130" s="76"/>
      <c r="J130" s="76"/>
      <c r="K130" s="76"/>
      <c r="L130" s="76"/>
      <c r="M130" s="76"/>
      <c r="N130" s="76"/>
      <c r="O130" s="76"/>
      <c r="P130" s="76"/>
    </row>
    <row r="131" spans="1:16" ht="15.75" customHeight="1"/>
    <row r="132" spans="1:16" ht="15.75" customHeight="1">
      <c r="A132" s="105" t="s">
        <v>290</v>
      </c>
      <c r="B132" s="110"/>
      <c r="C132" s="111"/>
      <c r="D132" s="12" t="s">
        <v>5</v>
      </c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</row>
    <row r="133" spans="1:16" ht="15.75" customHeight="1">
      <c r="A133" s="80" t="s">
        <v>291</v>
      </c>
      <c r="B133" s="81"/>
      <c r="C133" s="81" t="s">
        <v>284</v>
      </c>
      <c r="D133" s="82" t="s">
        <v>22</v>
      </c>
      <c r="E133" s="64"/>
      <c r="F133" s="64"/>
      <c r="G133" s="64"/>
      <c r="H133" s="64"/>
      <c r="I133" s="64"/>
      <c r="J133" s="64"/>
      <c r="K133" s="64"/>
      <c r="L133" s="86" t="s">
        <v>15</v>
      </c>
      <c r="M133" s="64"/>
      <c r="N133" s="64"/>
      <c r="O133" s="64"/>
      <c r="P133" s="64"/>
    </row>
    <row r="134" spans="1:16" ht="15.75" customHeight="1">
      <c r="A134" s="80" t="s">
        <v>292</v>
      </c>
      <c r="B134" s="82" t="s">
        <v>293</v>
      </c>
      <c r="C134" s="81" t="s">
        <v>284</v>
      </c>
      <c r="D134" s="82" t="s">
        <v>22</v>
      </c>
      <c r="E134" s="64"/>
      <c r="F134" s="64"/>
      <c r="G134" s="64"/>
      <c r="H134" s="64"/>
      <c r="I134" s="64"/>
      <c r="J134" s="64"/>
      <c r="K134" s="64"/>
      <c r="L134" s="86" t="s">
        <v>15</v>
      </c>
      <c r="M134" s="64"/>
      <c r="N134" s="64"/>
      <c r="O134" s="64"/>
      <c r="P134" s="64"/>
    </row>
    <row r="135" spans="1:16" ht="15.75" customHeight="1">
      <c r="A135" s="83" t="s">
        <v>294</v>
      </c>
      <c r="B135" s="82" t="s">
        <v>295</v>
      </c>
      <c r="C135" s="81" t="s">
        <v>284</v>
      </c>
      <c r="D135" s="82" t="s">
        <v>22</v>
      </c>
      <c r="E135" s="64"/>
      <c r="F135" s="64"/>
      <c r="G135" s="64"/>
      <c r="H135" s="64"/>
      <c r="I135" s="64"/>
      <c r="J135" s="64"/>
      <c r="K135" s="64"/>
      <c r="L135" s="86" t="s">
        <v>15</v>
      </c>
      <c r="M135" s="64"/>
      <c r="N135" s="64"/>
      <c r="O135" s="64"/>
      <c r="P135" s="64"/>
    </row>
    <row r="136" spans="1:16" ht="15.75" customHeight="1">
      <c r="A136" s="83" t="s">
        <v>296</v>
      </c>
      <c r="B136" s="82" t="s">
        <v>297</v>
      </c>
      <c r="C136" s="81" t="s">
        <v>284</v>
      </c>
      <c r="D136" s="82" t="s">
        <v>22</v>
      </c>
      <c r="E136" s="64"/>
      <c r="F136" s="64"/>
      <c r="G136" s="64"/>
      <c r="H136" s="64"/>
      <c r="I136" s="64"/>
      <c r="J136" s="64"/>
      <c r="K136" s="64"/>
      <c r="L136" s="86" t="s">
        <v>15</v>
      </c>
      <c r="M136" s="64"/>
      <c r="N136" s="64"/>
      <c r="O136" s="64"/>
      <c r="P136" s="64"/>
    </row>
    <row r="137" spans="1:16" ht="15.75" customHeight="1">
      <c r="A137" s="83" t="s">
        <v>298</v>
      </c>
      <c r="B137" s="84" t="s">
        <v>299</v>
      </c>
      <c r="C137" s="81" t="s">
        <v>284</v>
      </c>
      <c r="D137" s="82" t="s">
        <v>22</v>
      </c>
      <c r="E137" s="64"/>
      <c r="F137" s="64"/>
      <c r="G137" s="64"/>
      <c r="H137" s="64"/>
      <c r="I137" s="64"/>
      <c r="J137" s="64"/>
      <c r="K137" s="64"/>
      <c r="L137" s="86" t="s">
        <v>15</v>
      </c>
      <c r="M137" s="64"/>
      <c r="N137" s="64"/>
      <c r="O137" s="64"/>
      <c r="P137" s="64"/>
    </row>
    <row r="138" spans="1:16" ht="15.75" customHeight="1">
      <c r="A138" s="83" t="s">
        <v>300</v>
      </c>
      <c r="B138" s="85" t="s">
        <v>301</v>
      </c>
      <c r="C138" s="81" t="s">
        <v>284</v>
      </c>
      <c r="D138" s="82" t="s">
        <v>22</v>
      </c>
      <c r="E138" s="64"/>
      <c r="F138" s="64"/>
      <c r="G138" s="64"/>
      <c r="H138" s="64"/>
      <c r="I138" s="64"/>
      <c r="J138" s="64"/>
      <c r="K138" s="64"/>
      <c r="L138" s="86" t="s">
        <v>15</v>
      </c>
      <c r="M138" s="64"/>
      <c r="N138" s="64"/>
      <c r="O138" s="64"/>
      <c r="P138" s="64"/>
    </row>
    <row r="139" spans="1:16" ht="15.75" customHeight="1">
      <c r="A139" s="83" t="s">
        <v>302</v>
      </c>
      <c r="B139" s="82" t="s">
        <v>303</v>
      </c>
      <c r="C139" s="81" t="s">
        <v>284</v>
      </c>
      <c r="D139" s="82" t="s">
        <v>22</v>
      </c>
      <c r="E139" s="64"/>
      <c r="F139" s="64"/>
      <c r="G139" s="64"/>
      <c r="H139" s="64"/>
      <c r="I139" s="64"/>
      <c r="J139" s="64"/>
      <c r="K139" s="64"/>
      <c r="L139" s="86" t="s">
        <v>15</v>
      </c>
      <c r="M139" s="64"/>
      <c r="N139" s="64"/>
      <c r="O139" s="64"/>
      <c r="P139" s="64"/>
    </row>
    <row r="140" spans="1:16" ht="15.75" customHeight="1">
      <c r="A140" s="83" t="s">
        <v>304</v>
      </c>
      <c r="B140" s="85" t="s">
        <v>305</v>
      </c>
      <c r="C140" s="81" t="s">
        <v>284</v>
      </c>
      <c r="D140" s="82" t="s">
        <v>22</v>
      </c>
      <c r="E140" s="64"/>
      <c r="F140" s="64"/>
      <c r="G140" s="64"/>
      <c r="H140" s="64"/>
      <c r="I140" s="64"/>
      <c r="J140" s="64"/>
      <c r="K140" s="64"/>
      <c r="L140" s="86" t="s">
        <v>15</v>
      </c>
      <c r="M140" s="64"/>
      <c r="N140" s="64"/>
      <c r="O140" s="64"/>
      <c r="P140" s="64"/>
    </row>
    <row r="141" spans="1:16" ht="15.75" customHeight="1">
      <c r="A141" s="83" t="s">
        <v>306</v>
      </c>
      <c r="B141" s="85" t="s">
        <v>307</v>
      </c>
      <c r="C141" s="81" t="s">
        <v>284</v>
      </c>
      <c r="D141" s="82" t="s">
        <v>22</v>
      </c>
      <c r="E141" s="64"/>
      <c r="F141" s="64"/>
      <c r="G141" s="64"/>
      <c r="H141" s="64"/>
      <c r="I141" s="64"/>
      <c r="J141" s="64"/>
      <c r="K141" s="64"/>
      <c r="L141" s="86" t="s">
        <v>15</v>
      </c>
      <c r="M141" s="64"/>
      <c r="N141" s="64"/>
      <c r="O141" s="64"/>
      <c r="P141" s="64"/>
    </row>
    <row r="142" spans="1:16" ht="15.75" customHeight="1">
      <c r="A142" s="83" t="s">
        <v>308</v>
      </c>
      <c r="B142" s="85" t="s">
        <v>283</v>
      </c>
      <c r="C142" s="81" t="s">
        <v>284</v>
      </c>
      <c r="D142" s="82" t="s">
        <v>22</v>
      </c>
      <c r="E142" s="64"/>
      <c r="F142" s="64"/>
      <c r="G142" s="64"/>
      <c r="H142" s="64"/>
      <c r="I142" s="64"/>
      <c r="J142" s="64"/>
      <c r="K142" s="64"/>
      <c r="L142" s="86" t="s">
        <v>15</v>
      </c>
      <c r="M142" s="64"/>
      <c r="N142" s="64"/>
      <c r="O142" s="64"/>
      <c r="P142" s="64"/>
    </row>
    <row r="143" spans="1:16" ht="15.75" customHeight="1">
      <c r="A143" s="83" t="s">
        <v>309</v>
      </c>
      <c r="B143" s="85" t="s">
        <v>310</v>
      </c>
      <c r="C143" s="81" t="s">
        <v>284</v>
      </c>
      <c r="D143" s="82" t="s">
        <v>22</v>
      </c>
      <c r="E143" s="64"/>
      <c r="F143" s="64"/>
      <c r="G143" s="64"/>
      <c r="H143" s="64"/>
      <c r="I143" s="64"/>
      <c r="J143" s="64"/>
      <c r="K143" s="64"/>
      <c r="L143" s="86" t="s">
        <v>15</v>
      </c>
      <c r="M143" s="64"/>
      <c r="N143" s="64"/>
      <c r="O143" s="64"/>
      <c r="P143" s="64"/>
    </row>
    <row r="144" spans="1:16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18">
    <mergeCell ref="A132:C132"/>
    <mergeCell ref="A125:C125"/>
    <mergeCell ref="A85:C85"/>
    <mergeCell ref="A90:C90"/>
    <mergeCell ref="A112:C112"/>
    <mergeCell ref="A127:P127"/>
    <mergeCell ref="A76:C76"/>
    <mergeCell ref="A18:D18"/>
    <mergeCell ref="A1:P1"/>
    <mergeCell ref="E3:P3"/>
    <mergeCell ref="A4:C4"/>
    <mergeCell ref="A16:P16"/>
    <mergeCell ref="E17:P17"/>
    <mergeCell ref="A28:P28"/>
    <mergeCell ref="A33:D33"/>
    <mergeCell ref="A49:C49"/>
    <mergeCell ref="A54:C54"/>
    <mergeCell ref="A64:C64"/>
  </mergeCells>
  <conditionalFormatting sqref="E32:F32 M128:M129 N128:P128 F5:F15">
    <cfRule type="cellIs" dxfId="367" priority="473" operator="equal">
      <formula>"Select"</formula>
    </cfRule>
    <cfRule type="cellIs" dxfId="366" priority="474" operator="equal">
      <formula>"AK"</formula>
    </cfRule>
    <cfRule type="cellIs" dxfId="365" priority="475" operator="equal">
      <formula>"TW"</formula>
    </cfRule>
    <cfRule type="cellIs" dxfId="364" priority="476" operator="equal">
      <formula>"RG"</formula>
    </cfRule>
  </conditionalFormatting>
  <conditionalFormatting sqref="E19:H19">
    <cfRule type="cellIs" dxfId="363" priority="465" operator="equal">
      <formula>"Select"</formula>
    </cfRule>
    <cfRule type="cellIs" dxfId="362" priority="466" operator="equal">
      <formula>"AK"</formula>
    </cfRule>
    <cfRule type="cellIs" dxfId="361" priority="467" operator="equal">
      <formula>"TW"</formula>
    </cfRule>
    <cfRule type="cellIs" dxfId="360" priority="468" operator="equal">
      <formula>"RG"</formula>
    </cfRule>
  </conditionalFormatting>
  <conditionalFormatting sqref="E100:J100">
    <cfRule type="cellIs" dxfId="359" priority="361" operator="equal">
      <formula>"Select"</formula>
    </cfRule>
    <cfRule type="cellIs" dxfId="358" priority="362" operator="equal">
      <formula>"AK"</formula>
    </cfRule>
    <cfRule type="cellIs" dxfId="357" priority="363" operator="equal">
      <formula>"TW"</formula>
    </cfRule>
    <cfRule type="cellIs" dxfId="356" priority="364" operator="equal">
      <formula>"RG"</formula>
    </cfRule>
  </conditionalFormatting>
  <conditionalFormatting sqref="E26:K26">
    <cfRule type="cellIs" dxfId="355" priority="373" operator="equal">
      <formula>"Select"</formula>
    </cfRule>
    <cfRule type="cellIs" dxfId="354" priority="374" operator="equal">
      <formula>"AK"</formula>
    </cfRule>
    <cfRule type="cellIs" dxfId="353" priority="375" operator="equal">
      <formula>"TW"</formula>
    </cfRule>
    <cfRule type="cellIs" dxfId="352" priority="376" operator="equal">
      <formula>"RG"</formula>
    </cfRule>
  </conditionalFormatting>
  <conditionalFormatting sqref="E126:K126">
    <cfRule type="cellIs" dxfId="351" priority="425" operator="equal">
      <formula>"Select"</formula>
    </cfRule>
    <cfRule type="cellIs" dxfId="350" priority="426" operator="equal">
      <formula>"AK"</formula>
    </cfRule>
    <cfRule type="cellIs" dxfId="349" priority="427" operator="equal">
      <formula>"TW"</formula>
    </cfRule>
    <cfRule type="cellIs" dxfId="348" priority="428" operator="equal">
      <formula>"RG"</formula>
    </cfRule>
  </conditionalFormatting>
  <conditionalFormatting sqref="E128:K128">
    <cfRule type="cellIs" dxfId="347" priority="397" operator="equal">
      <formula>"Select"</formula>
    </cfRule>
    <cfRule type="cellIs" dxfId="346" priority="398" operator="equal">
      <formula>"AK"</formula>
    </cfRule>
    <cfRule type="cellIs" dxfId="345" priority="399" operator="equal">
      <formula>"TW"</formula>
    </cfRule>
    <cfRule type="cellIs" dxfId="344" priority="400" operator="equal">
      <formula>"RG"</formula>
    </cfRule>
  </conditionalFormatting>
  <conditionalFormatting sqref="E20:P25 M26:M27 K32:O32 E36:P36 E38:P38 L40 E53:P53 J55:J59 E56:I59 K56:P59 E79:P82 L83:L84 K88:K89 E92:P94 E97:P99 E107:P107 E29:P31 K69 E62:P63 I42:I47 O40:O44 K65:K67">
    <cfRule type="cellIs" dxfId="343" priority="489" operator="equal">
      <formula>"Select"</formula>
    </cfRule>
    <cfRule type="cellIs" dxfId="342" priority="490" operator="equal">
      <formula>"AK"</formula>
    </cfRule>
    <cfRule type="cellIs" dxfId="341" priority="491" operator="equal">
      <formula>"TW"</formula>
    </cfRule>
    <cfRule type="cellIs" dxfId="340" priority="492" operator="equal">
      <formula>"RG"</formula>
    </cfRule>
  </conditionalFormatting>
  <conditionalFormatting sqref="F130:P130">
    <cfRule type="cellIs" dxfId="339" priority="325" operator="equal">
      <formula>"Select"</formula>
    </cfRule>
    <cfRule type="cellIs" dxfId="338" priority="326" operator="equal">
      <formula>"AK"</formula>
    </cfRule>
    <cfRule type="cellIs" dxfId="337" priority="327" operator="equal">
      <formula>"TW"</formula>
    </cfRule>
    <cfRule type="cellIs" dxfId="336" priority="328" operator="equal">
      <formula>"RG"</formula>
    </cfRule>
  </conditionalFormatting>
  <conditionalFormatting sqref="H32:I32">
    <cfRule type="cellIs" dxfId="335" priority="469" operator="equal">
      <formula>"Select"</formula>
    </cfRule>
    <cfRule type="cellIs" dxfId="334" priority="470" operator="equal">
      <formula>"AK"</formula>
    </cfRule>
    <cfRule type="cellIs" dxfId="333" priority="471" operator="equal">
      <formula>"TW"</formula>
    </cfRule>
    <cfRule type="cellIs" dxfId="332" priority="472" operator="equal">
      <formula>"RG"</formula>
    </cfRule>
  </conditionalFormatting>
  <conditionalFormatting sqref="J84">
    <cfRule type="cellIs" dxfId="331" priority="485" operator="equal">
      <formula>"Select"</formula>
    </cfRule>
    <cfRule type="cellIs" dxfId="330" priority="486" operator="equal">
      <formula>"AK"</formula>
    </cfRule>
    <cfRule type="cellIs" dxfId="329" priority="487" operator="equal">
      <formula>"TW"</formula>
    </cfRule>
    <cfRule type="cellIs" dxfId="328" priority="488" operator="equal">
      <formula>"RG"</formula>
    </cfRule>
  </conditionalFormatting>
  <conditionalFormatting sqref="J19:P19">
    <cfRule type="cellIs" dxfId="327" priority="457" operator="equal">
      <formula>"Select"</formula>
    </cfRule>
    <cfRule type="cellIs" dxfId="326" priority="458" operator="equal">
      <formula>"AK"</formula>
    </cfRule>
    <cfRule type="cellIs" dxfId="325" priority="459" operator="equal">
      <formula>"TW"</formula>
    </cfRule>
    <cfRule type="cellIs" dxfId="324" priority="460" operator="equal">
      <formula>"RG"</formula>
    </cfRule>
  </conditionalFormatting>
  <conditionalFormatting sqref="L100:P100">
    <cfRule type="cellIs" dxfId="323" priority="357" operator="equal">
      <formula>"Select"</formula>
    </cfRule>
    <cfRule type="cellIs" dxfId="322" priority="358" operator="equal">
      <formula>"AK"</formula>
    </cfRule>
    <cfRule type="cellIs" dxfId="321" priority="359" operator="equal">
      <formula>"TW"</formula>
    </cfRule>
    <cfRule type="cellIs" dxfId="320" priority="360" operator="equal">
      <formula>"RG"</formula>
    </cfRule>
  </conditionalFormatting>
  <conditionalFormatting sqref="M126:P126">
    <cfRule type="cellIs" dxfId="319" priority="453" operator="equal">
      <formula>"Select"</formula>
    </cfRule>
    <cfRule type="cellIs" dxfId="318" priority="454" operator="equal">
      <formula>"AK"</formula>
    </cfRule>
    <cfRule type="cellIs" dxfId="317" priority="455" operator="equal">
      <formula>"TW"</formula>
    </cfRule>
    <cfRule type="cellIs" dxfId="316" priority="456" operator="equal">
      <formula>"RG"</formula>
    </cfRule>
  </conditionalFormatting>
  <conditionalFormatting sqref="N26:P26">
    <cfRule type="cellIs" dxfId="315" priority="365" operator="equal">
      <formula>"Select"</formula>
    </cfRule>
    <cfRule type="cellIs" dxfId="314" priority="366" operator="equal">
      <formula>"AK"</formula>
    </cfRule>
    <cfRule type="cellIs" dxfId="313" priority="367" operator="equal">
      <formula>"TW"</formula>
    </cfRule>
    <cfRule type="cellIs" dxfId="312" priority="368" operator="equal">
      <formula>"RG"</formula>
    </cfRule>
  </conditionalFormatting>
  <conditionalFormatting sqref="P84">
    <cfRule type="cellIs" dxfId="311" priority="481" operator="equal">
      <formula>"Select"</formula>
    </cfRule>
    <cfRule type="cellIs" dxfId="310" priority="482" operator="equal">
      <formula>"AK"</formula>
    </cfRule>
    <cfRule type="cellIs" dxfId="309" priority="483" operator="equal">
      <formula>"TW"</formula>
    </cfRule>
    <cfRule type="cellIs" dxfId="308" priority="484" operator="equal">
      <formula>"RG"</formula>
    </cfRule>
  </conditionalFormatting>
  <conditionalFormatting sqref="J42:J43">
    <cfRule type="cellIs" dxfId="307" priority="321" operator="equal">
      <formula>"Select"</formula>
    </cfRule>
    <cfRule type="cellIs" dxfId="306" priority="322" operator="equal">
      <formula>"AK"</formula>
    </cfRule>
    <cfRule type="cellIs" dxfId="305" priority="323" operator="equal">
      <formula>"TW"</formula>
    </cfRule>
    <cfRule type="cellIs" dxfId="304" priority="324" operator="equal">
      <formula>"RG"</formula>
    </cfRule>
  </conditionalFormatting>
  <conditionalFormatting sqref="K42:K43">
    <cfRule type="cellIs" dxfId="303" priority="317" operator="equal">
      <formula>"Select"</formula>
    </cfRule>
    <cfRule type="cellIs" dxfId="302" priority="318" operator="equal">
      <formula>"AK"</formula>
    </cfRule>
    <cfRule type="cellIs" dxfId="301" priority="319" operator="equal">
      <formula>"TW"</formula>
    </cfRule>
    <cfRule type="cellIs" dxfId="300" priority="320" operator="equal">
      <formula>"RG"</formula>
    </cfRule>
  </conditionalFormatting>
  <conditionalFormatting sqref="E129:K129">
    <cfRule type="cellIs" dxfId="299" priority="313" operator="equal">
      <formula>"Select"</formula>
    </cfRule>
    <cfRule type="cellIs" dxfId="298" priority="314" operator="equal">
      <formula>"AK"</formula>
    </cfRule>
    <cfRule type="cellIs" dxfId="297" priority="315" operator="equal">
      <formula>"TW"</formula>
    </cfRule>
    <cfRule type="cellIs" dxfId="296" priority="316" operator="equal">
      <formula>"RG"</formula>
    </cfRule>
  </conditionalFormatting>
  <conditionalFormatting sqref="P129">
    <cfRule type="cellIs" dxfId="295" priority="309" operator="equal">
      <formula>"Select"</formula>
    </cfRule>
    <cfRule type="cellIs" dxfId="294" priority="310" operator="equal">
      <formula>"AK"</formula>
    </cfRule>
    <cfRule type="cellIs" dxfId="293" priority="311" operator="equal">
      <formula>"TW"</formula>
    </cfRule>
    <cfRule type="cellIs" dxfId="292" priority="312" operator="equal">
      <formula>"RG"</formula>
    </cfRule>
  </conditionalFormatting>
  <conditionalFormatting sqref="O129">
    <cfRule type="cellIs" dxfId="291" priority="305" operator="equal">
      <formula>"Select"</formula>
    </cfRule>
    <cfRule type="cellIs" dxfId="290" priority="306" operator="equal">
      <formula>"AK"</formula>
    </cfRule>
    <cfRule type="cellIs" dxfId="289" priority="307" operator="equal">
      <formula>"TW"</formula>
    </cfRule>
    <cfRule type="cellIs" dxfId="288" priority="308" operator="equal">
      <formula>"RG"</formula>
    </cfRule>
  </conditionalFormatting>
  <conditionalFormatting sqref="N129">
    <cfRule type="cellIs" dxfId="287" priority="301" operator="equal">
      <formula>"Select"</formula>
    </cfRule>
    <cfRule type="cellIs" dxfId="286" priority="302" operator="equal">
      <formula>"AK"</formula>
    </cfRule>
    <cfRule type="cellIs" dxfId="285" priority="303" operator="equal">
      <formula>"TW"</formula>
    </cfRule>
    <cfRule type="cellIs" dxfId="284" priority="304" operator="equal">
      <formula>"RG"</formula>
    </cfRule>
  </conditionalFormatting>
  <conditionalFormatting sqref="E66:E67">
    <cfRule type="cellIs" dxfId="283" priority="297" operator="equal">
      <formula>"Select"</formula>
    </cfRule>
    <cfRule type="cellIs" dxfId="282" priority="298" operator="equal">
      <formula>"AK"</formula>
    </cfRule>
    <cfRule type="cellIs" dxfId="281" priority="299" operator="equal">
      <formula>"TW"</formula>
    </cfRule>
    <cfRule type="cellIs" dxfId="280" priority="300" operator="equal">
      <formula>"RG"</formula>
    </cfRule>
  </conditionalFormatting>
  <conditionalFormatting sqref="F66:F68">
    <cfRule type="cellIs" dxfId="279" priority="293" operator="equal">
      <formula>"Select"</formula>
    </cfRule>
    <cfRule type="cellIs" dxfId="278" priority="294" operator="equal">
      <formula>"AK"</formula>
    </cfRule>
    <cfRule type="cellIs" dxfId="277" priority="295" operator="equal">
      <formula>"TW"</formula>
    </cfRule>
    <cfRule type="cellIs" dxfId="276" priority="296" operator="equal">
      <formula>"RG"</formula>
    </cfRule>
  </conditionalFormatting>
  <conditionalFormatting sqref="G66:G67">
    <cfRule type="cellIs" dxfId="275" priority="289" operator="equal">
      <formula>"Select"</formula>
    </cfRule>
    <cfRule type="cellIs" dxfId="274" priority="290" operator="equal">
      <formula>"AK"</formula>
    </cfRule>
    <cfRule type="cellIs" dxfId="273" priority="291" operator="equal">
      <formula>"TW"</formula>
    </cfRule>
    <cfRule type="cellIs" dxfId="272" priority="292" operator="equal">
      <formula>"RG"</formula>
    </cfRule>
  </conditionalFormatting>
  <conditionalFormatting sqref="H66:H67">
    <cfRule type="cellIs" dxfId="271" priority="281" operator="equal">
      <formula>"Select"</formula>
    </cfRule>
    <cfRule type="cellIs" dxfId="270" priority="282" operator="equal">
      <formula>"AK"</formula>
    </cfRule>
    <cfRule type="cellIs" dxfId="269" priority="283" operator="equal">
      <formula>"TW"</formula>
    </cfRule>
    <cfRule type="cellIs" dxfId="268" priority="284" operator="equal">
      <formula>"RG"</formula>
    </cfRule>
  </conditionalFormatting>
  <conditionalFormatting sqref="J66:J67">
    <cfRule type="cellIs" dxfId="267" priority="277" operator="equal">
      <formula>"Select"</formula>
    </cfRule>
    <cfRule type="cellIs" dxfId="266" priority="278" operator="equal">
      <formula>"AK"</formula>
    </cfRule>
    <cfRule type="cellIs" dxfId="265" priority="279" operator="equal">
      <formula>"TW"</formula>
    </cfRule>
    <cfRule type="cellIs" dxfId="264" priority="280" operator="equal">
      <formula>"RG"</formula>
    </cfRule>
  </conditionalFormatting>
  <conditionalFormatting sqref="I66:I67">
    <cfRule type="cellIs" dxfId="263" priority="273" operator="equal">
      <formula>"Select"</formula>
    </cfRule>
    <cfRule type="cellIs" dxfId="262" priority="274" operator="equal">
      <formula>"AK"</formula>
    </cfRule>
    <cfRule type="cellIs" dxfId="261" priority="275" operator="equal">
      <formula>"TW"</formula>
    </cfRule>
    <cfRule type="cellIs" dxfId="260" priority="276" operator="equal">
      <formula>"RG"</formula>
    </cfRule>
  </conditionalFormatting>
  <conditionalFormatting sqref="L66:L67">
    <cfRule type="cellIs" dxfId="259" priority="269" operator="equal">
      <formula>"Select"</formula>
    </cfRule>
    <cfRule type="cellIs" dxfId="258" priority="270" operator="equal">
      <formula>"AK"</formula>
    </cfRule>
    <cfRule type="cellIs" dxfId="257" priority="271" operator="equal">
      <formula>"TW"</formula>
    </cfRule>
    <cfRule type="cellIs" dxfId="256" priority="272" operator="equal">
      <formula>"RG"</formula>
    </cfRule>
  </conditionalFormatting>
  <conditionalFormatting sqref="N67">
    <cfRule type="cellIs" dxfId="255" priority="265" operator="equal">
      <formula>"Select"</formula>
    </cfRule>
    <cfRule type="cellIs" dxfId="254" priority="266" operator="equal">
      <formula>"AK"</formula>
    </cfRule>
    <cfRule type="cellIs" dxfId="253" priority="267" operator="equal">
      <formula>"TW"</formula>
    </cfRule>
    <cfRule type="cellIs" dxfId="252" priority="268" operator="equal">
      <formula>"RG"</formula>
    </cfRule>
  </conditionalFormatting>
  <conditionalFormatting sqref="O67">
    <cfRule type="cellIs" dxfId="251" priority="261" operator="equal">
      <formula>"Select"</formula>
    </cfRule>
    <cfRule type="cellIs" dxfId="250" priority="262" operator="equal">
      <formula>"AK"</formula>
    </cfRule>
    <cfRule type="cellIs" dxfId="249" priority="263" operator="equal">
      <formula>"TW"</formula>
    </cfRule>
    <cfRule type="cellIs" dxfId="248" priority="264" operator="equal">
      <formula>"RG"</formula>
    </cfRule>
  </conditionalFormatting>
  <conditionalFormatting sqref="P67">
    <cfRule type="cellIs" dxfId="247" priority="257" operator="equal">
      <formula>"Select"</formula>
    </cfRule>
    <cfRule type="cellIs" dxfId="246" priority="258" operator="equal">
      <formula>"AK"</formula>
    </cfRule>
    <cfRule type="cellIs" dxfId="245" priority="259" operator="equal">
      <formula>"TW"</formula>
    </cfRule>
    <cfRule type="cellIs" dxfId="244" priority="260" operator="equal">
      <formula>"RG"</formula>
    </cfRule>
  </conditionalFormatting>
  <conditionalFormatting sqref="E68">
    <cfRule type="cellIs" dxfId="243" priority="249" operator="equal">
      <formula>"Select"</formula>
    </cfRule>
    <cfRule type="cellIs" dxfId="242" priority="250" operator="equal">
      <formula>"AK"</formula>
    </cfRule>
    <cfRule type="cellIs" dxfId="241" priority="251" operator="equal">
      <formula>"TW"</formula>
    </cfRule>
    <cfRule type="cellIs" dxfId="240" priority="252" operator="equal">
      <formula>"RG"</formula>
    </cfRule>
  </conditionalFormatting>
  <conditionalFormatting sqref="G68">
    <cfRule type="cellIs" dxfId="239" priority="245" operator="equal">
      <formula>"Select"</formula>
    </cfRule>
    <cfRule type="cellIs" dxfId="238" priority="246" operator="equal">
      <formula>"AK"</formula>
    </cfRule>
    <cfRule type="cellIs" dxfId="237" priority="247" operator="equal">
      <formula>"TW"</formula>
    </cfRule>
    <cfRule type="cellIs" dxfId="236" priority="248" operator="equal">
      <formula>"RG"</formula>
    </cfRule>
  </conditionalFormatting>
  <conditionalFormatting sqref="I68">
    <cfRule type="cellIs" dxfId="235" priority="241" operator="equal">
      <formula>"Select"</formula>
    </cfRule>
    <cfRule type="cellIs" dxfId="234" priority="242" operator="equal">
      <formula>"AK"</formula>
    </cfRule>
    <cfRule type="cellIs" dxfId="233" priority="243" operator="equal">
      <formula>"TW"</formula>
    </cfRule>
    <cfRule type="cellIs" dxfId="232" priority="244" operator="equal">
      <formula>"RG"</formula>
    </cfRule>
  </conditionalFormatting>
  <conditionalFormatting sqref="J68">
    <cfRule type="cellIs" dxfId="231" priority="237" operator="equal">
      <formula>"Select"</formula>
    </cfRule>
    <cfRule type="cellIs" dxfId="230" priority="238" operator="equal">
      <formula>"AK"</formula>
    </cfRule>
    <cfRule type="cellIs" dxfId="229" priority="239" operator="equal">
      <formula>"TW"</formula>
    </cfRule>
    <cfRule type="cellIs" dxfId="228" priority="240" operator="equal">
      <formula>"RG"</formula>
    </cfRule>
  </conditionalFormatting>
  <conditionalFormatting sqref="L68">
    <cfRule type="cellIs" dxfId="227" priority="233" operator="equal">
      <formula>"Select"</formula>
    </cfRule>
    <cfRule type="cellIs" dxfId="226" priority="234" operator="equal">
      <formula>"AK"</formula>
    </cfRule>
    <cfRule type="cellIs" dxfId="225" priority="235" operator="equal">
      <formula>"TW"</formula>
    </cfRule>
    <cfRule type="cellIs" dxfId="224" priority="236" operator="equal">
      <formula>"RG"</formula>
    </cfRule>
  </conditionalFormatting>
  <conditionalFormatting sqref="K68">
    <cfRule type="cellIs" dxfId="223" priority="229" operator="equal">
      <formula>"Select"</formula>
    </cfRule>
    <cfRule type="cellIs" dxfId="222" priority="230" operator="equal">
      <formula>"AK"</formula>
    </cfRule>
    <cfRule type="cellIs" dxfId="221" priority="231" operator="equal">
      <formula>"TW"</formula>
    </cfRule>
    <cfRule type="cellIs" dxfId="220" priority="232" operator="equal">
      <formula>"RG"</formula>
    </cfRule>
  </conditionalFormatting>
  <conditionalFormatting sqref="M68">
    <cfRule type="cellIs" dxfId="219" priority="225" operator="equal">
      <formula>"Select"</formula>
    </cfRule>
    <cfRule type="cellIs" dxfId="218" priority="226" operator="equal">
      <formula>"AK"</formula>
    </cfRule>
    <cfRule type="cellIs" dxfId="217" priority="227" operator="equal">
      <formula>"TW"</formula>
    </cfRule>
    <cfRule type="cellIs" dxfId="216" priority="228" operator="equal">
      <formula>"RG"</formula>
    </cfRule>
  </conditionalFormatting>
  <conditionalFormatting sqref="N68">
    <cfRule type="cellIs" dxfId="215" priority="221" operator="equal">
      <formula>"Select"</formula>
    </cfRule>
    <cfRule type="cellIs" dxfId="214" priority="222" operator="equal">
      <formula>"AK"</formula>
    </cfRule>
    <cfRule type="cellIs" dxfId="213" priority="223" operator="equal">
      <formula>"TW"</formula>
    </cfRule>
    <cfRule type="cellIs" dxfId="212" priority="224" operator="equal">
      <formula>"RG"</formula>
    </cfRule>
  </conditionalFormatting>
  <conditionalFormatting sqref="O68">
    <cfRule type="cellIs" dxfId="211" priority="217" operator="equal">
      <formula>"Select"</formula>
    </cfRule>
    <cfRule type="cellIs" dxfId="210" priority="218" operator="equal">
      <formula>"AK"</formula>
    </cfRule>
    <cfRule type="cellIs" dxfId="209" priority="219" operator="equal">
      <formula>"TW"</formula>
    </cfRule>
    <cfRule type="cellIs" dxfId="208" priority="220" operator="equal">
      <formula>"RG"</formula>
    </cfRule>
  </conditionalFormatting>
  <conditionalFormatting sqref="P68">
    <cfRule type="cellIs" dxfId="207" priority="213" operator="equal">
      <formula>"Select"</formula>
    </cfRule>
    <cfRule type="cellIs" dxfId="206" priority="214" operator="equal">
      <formula>"AK"</formula>
    </cfRule>
    <cfRule type="cellIs" dxfId="205" priority="215" operator="equal">
      <formula>"TW"</formula>
    </cfRule>
    <cfRule type="cellIs" dxfId="204" priority="216" operator="equal">
      <formula>"RG"</formula>
    </cfRule>
  </conditionalFormatting>
  <conditionalFormatting sqref="G60">
    <cfRule type="cellIs" dxfId="203" priority="209" operator="equal">
      <formula>"Select"</formula>
    </cfRule>
    <cfRule type="cellIs" dxfId="202" priority="210" operator="equal">
      <formula>"AK"</formula>
    </cfRule>
    <cfRule type="cellIs" dxfId="201" priority="211" operator="equal">
      <formula>"TW"</formula>
    </cfRule>
    <cfRule type="cellIs" dxfId="200" priority="212" operator="equal">
      <formula>"RG"</formula>
    </cfRule>
  </conditionalFormatting>
  <conditionalFormatting sqref="H44">
    <cfRule type="cellIs" dxfId="199" priority="205" operator="equal">
      <formula>"Select"</formula>
    </cfRule>
    <cfRule type="cellIs" dxfId="198" priority="206" operator="equal">
      <formula>"AK"</formula>
    </cfRule>
    <cfRule type="cellIs" dxfId="197" priority="207" operator="equal">
      <formula>"TW"</formula>
    </cfRule>
    <cfRule type="cellIs" dxfId="196" priority="208" operator="equal">
      <formula>"RG"</formula>
    </cfRule>
  </conditionalFormatting>
  <conditionalFormatting sqref="K44">
    <cfRule type="cellIs" dxfId="195" priority="201" operator="equal">
      <formula>"Select"</formula>
    </cfRule>
    <cfRule type="cellIs" dxfId="194" priority="202" operator="equal">
      <formula>"AK"</formula>
    </cfRule>
    <cfRule type="cellIs" dxfId="193" priority="203" operator="equal">
      <formula>"TW"</formula>
    </cfRule>
    <cfRule type="cellIs" dxfId="192" priority="204" operator="equal">
      <formula>"RG"</formula>
    </cfRule>
  </conditionalFormatting>
  <conditionalFormatting sqref="L44">
    <cfRule type="cellIs" dxfId="191" priority="197" operator="equal">
      <formula>"Select"</formula>
    </cfRule>
    <cfRule type="cellIs" dxfId="190" priority="198" operator="equal">
      <formula>"AK"</formula>
    </cfRule>
    <cfRule type="cellIs" dxfId="189" priority="199" operator="equal">
      <formula>"TW"</formula>
    </cfRule>
    <cfRule type="cellIs" dxfId="188" priority="200" operator="equal">
      <formula>"RG"</formula>
    </cfRule>
  </conditionalFormatting>
  <conditionalFormatting sqref="M44">
    <cfRule type="cellIs" dxfId="187" priority="193" operator="equal">
      <formula>"Select"</formula>
    </cfRule>
    <cfRule type="cellIs" dxfId="186" priority="194" operator="equal">
      <formula>"AK"</formula>
    </cfRule>
    <cfRule type="cellIs" dxfId="185" priority="195" operator="equal">
      <formula>"TW"</formula>
    </cfRule>
    <cfRule type="cellIs" dxfId="184" priority="196" operator="equal">
      <formula>"RG"</formula>
    </cfRule>
  </conditionalFormatting>
  <conditionalFormatting sqref="N44">
    <cfRule type="cellIs" dxfId="183" priority="185" operator="equal">
      <formula>"Select"</formula>
    </cfRule>
    <cfRule type="cellIs" dxfId="182" priority="186" operator="equal">
      <formula>"AK"</formula>
    </cfRule>
    <cfRule type="cellIs" dxfId="181" priority="187" operator="equal">
      <formula>"TW"</formula>
    </cfRule>
    <cfRule type="cellIs" dxfId="180" priority="188" operator="equal">
      <formula>"RG"</formula>
    </cfRule>
  </conditionalFormatting>
  <conditionalFormatting sqref="P44">
    <cfRule type="cellIs" dxfId="179" priority="181" operator="equal">
      <formula>"Select"</formula>
    </cfRule>
    <cfRule type="cellIs" dxfId="178" priority="182" operator="equal">
      <formula>"AK"</formula>
    </cfRule>
    <cfRule type="cellIs" dxfId="177" priority="183" operator="equal">
      <formula>"TW"</formula>
    </cfRule>
    <cfRule type="cellIs" dxfId="176" priority="184" operator="equal">
      <formula>"RG"</formula>
    </cfRule>
  </conditionalFormatting>
  <conditionalFormatting sqref="E65">
    <cfRule type="cellIs" dxfId="175" priority="177" operator="equal">
      <formula>"Select"</formula>
    </cfRule>
    <cfRule type="cellIs" dxfId="174" priority="178" operator="equal">
      <formula>"AK"</formula>
    </cfRule>
    <cfRule type="cellIs" dxfId="173" priority="179" operator="equal">
      <formula>"TW"</formula>
    </cfRule>
    <cfRule type="cellIs" dxfId="172" priority="180" operator="equal">
      <formula>"RG"</formula>
    </cfRule>
  </conditionalFormatting>
  <conditionalFormatting sqref="F65">
    <cfRule type="cellIs" dxfId="171" priority="173" operator="equal">
      <formula>"Select"</formula>
    </cfRule>
    <cfRule type="cellIs" dxfId="170" priority="174" operator="equal">
      <formula>"AK"</formula>
    </cfRule>
    <cfRule type="cellIs" dxfId="169" priority="175" operator="equal">
      <formula>"TW"</formula>
    </cfRule>
    <cfRule type="cellIs" dxfId="168" priority="176" operator="equal">
      <formula>"RG"</formula>
    </cfRule>
  </conditionalFormatting>
  <conditionalFormatting sqref="G65">
    <cfRule type="cellIs" dxfId="167" priority="169" operator="equal">
      <formula>"Select"</formula>
    </cfRule>
    <cfRule type="cellIs" dxfId="166" priority="170" operator="equal">
      <formula>"AK"</formula>
    </cfRule>
    <cfRule type="cellIs" dxfId="165" priority="171" operator="equal">
      <formula>"TW"</formula>
    </cfRule>
    <cfRule type="cellIs" dxfId="164" priority="172" operator="equal">
      <formula>"RG"</formula>
    </cfRule>
  </conditionalFormatting>
  <conditionalFormatting sqref="H65">
    <cfRule type="cellIs" dxfId="163" priority="165" operator="equal">
      <formula>"Select"</formula>
    </cfRule>
    <cfRule type="cellIs" dxfId="162" priority="166" operator="equal">
      <formula>"AK"</formula>
    </cfRule>
    <cfRule type="cellIs" dxfId="161" priority="167" operator="equal">
      <formula>"TW"</formula>
    </cfRule>
    <cfRule type="cellIs" dxfId="160" priority="168" operator="equal">
      <formula>"RG"</formula>
    </cfRule>
  </conditionalFormatting>
  <conditionalFormatting sqref="J65">
    <cfRule type="cellIs" dxfId="159" priority="161" operator="equal">
      <formula>"Select"</formula>
    </cfRule>
    <cfRule type="cellIs" dxfId="158" priority="162" operator="equal">
      <formula>"AK"</formula>
    </cfRule>
    <cfRule type="cellIs" dxfId="157" priority="163" operator="equal">
      <formula>"TW"</formula>
    </cfRule>
    <cfRule type="cellIs" dxfId="156" priority="164" operator="equal">
      <formula>"RG"</formula>
    </cfRule>
  </conditionalFormatting>
  <conditionalFormatting sqref="I65">
    <cfRule type="cellIs" dxfId="155" priority="157" operator="equal">
      <formula>"Select"</formula>
    </cfRule>
    <cfRule type="cellIs" dxfId="154" priority="158" operator="equal">
      <formula>"AK"</formula>
    </cfRule>
    <cfRule type="cellIs" dxfId="153" priority="159" operator="equal">
      <formula>"TW"</formula>
    </cfRule>
    <cfRule type="cellIs" dxfId="152" priority="160" operator="equal">
      <formula>"RG"</formula>
    </cfRule>
  </conditionalFormatting>
  <conditionalFormatting sqref="L65">
    <cfRule type="cellIs" dxfId="151" priority="153" operator="equal">
      <formula>"Select"</formula>
    </cfRule>
    <cfRule type="cellIs" dxfId="150" priority="154" operator="equal">
      <formula>"AK"</formula>
    </cfRule>
    <cfRule type="cellIs" dxfId="149" priority="155" operator="equal">
      <formula>"TW"</formula>
    </cfRule>
    <cfRule type="cellIs" dxfId="148" priority="156" operator="equal">
      <formula>"RG"</formula>
    </cfRule>
  </conditionalFormatting>
  <conditionalFormatting sqref="N65">
    <cfRule type="cellIs" dxfId="147" priority="149" operator="equal">
      <formula>"Select"</formula>
    </cfRule>
    <cfRule type="cellIs" dxfId="146" priority="150" operator="equal">
      <formula>"AK"</formula>
    </cfRule>
    <cfRule type="cellIs" dxfId="145" priority="151" operator="equal">
      <formula>"TW"</formula>
    </cfRule>
    <cfRule type="cellIs" dxfId="144" priority="152" operator="equal">
      <formula>"RG"</formula>
    </cfRule>
  </conditionalFormatting>
  <conditionalFormatting sqref="O65">
    <cfRule type="cellIs" dxfId="143" priority="145" operator="equal">
      <formula>"Select"</formula>
    </cfRule>
    <cfRule type="cellIs" dxfId="142" priority="146" operator="equal">
      <formula>"AK"</formula>
    </cfRule>
    <cfRule type="cellIs" dxfId="141" priority="147" operator="equal">
      <formula>"TW"</formula>
    </cfRule>
    <cfRule type="cellIs" dxfId="140" priority="148" operator="equal">
      <formula>"RG"</formula>
    </cfRule>
  </conditionalFormatting>
  <conditionalFormatting sqref="P65">
    <cfRule type="cellIs" dxfId="139" priority="141" operator="equal">
      <formula>"Select"</formula>
    </cfRule>
    <cfRule type="cellIs" dxfId="138" priority="142" operator="equal">
      <formula>"AK"</formula>
    </cfRule>
    <cfRule type="cellIs" dxfId="137" priority="143" operator="equal">
      <formula>"TW"</formula>
    </cfRule>
    <cfRule type="cellIs" dxfId="136" priority="144" operator="equal">
      <formula>"RG"</formula>
    </cfRule>
  </conditionalFormatting>
  <conditionalFormatting sqref="N66">
    <cfRule type="cellIs" dxfId="135" priority="137" operator="equal">
      <formula>"Select"</formula>
    </cfRule>
    <cfRule type="cellIs" dxfId="134" priority="138" operator="equal">
      <formula>"AK"</formula>
    </cfRule>
    <cfRule type="cellIs" dxfId="133" priority="139" operator="equal">
      <formula>"TW"</formula>
    </cfRule>
    <cfRule type="cellIs" dxfId="132" priority="140" operator="equal">
      <formula>"RG"</formula>
    </cfRule>
  </conditionalFormatting>
  <conditionalFormatting sqref="O66">
    <cfRule type="cellIs" dxfId="131" priority="133" operator="equal">
      <formula>"Select"</formula>
    </cfRule>
    <cfRule type="cellIs" dxfId="130" priority="134" operator="equal">
      <formula>"AK"</formula>
    </cfRule>
    <cfRule type="cellIs" dxfId="129" priority="135" operator="equal">
      <formula>"TW"</formula>
    </cfRule>
    <cfRule type="cellIs" dxfId="128" priority="136" operator="equal">
      <formula>"RG"</formula>
    </cfRule>
  </conditionalFormatting>
  <conditionalFormatting sqref="P66">
    <cfRule type="cellIs" dxfId="127" priority="129" operator="equal">
      <formula>"Select"</formula>
    </cfRule>
    <cfRule type="cellIs" dxfId="126" priority="130" operator="equal">
      <formula>"AK"</formula>
    </cfRule>
    <cfRule type="cellIs" dxfId="125" priority="131" operator="equal">
      <formula>"TW"</formula>
    </cfRule>
    <cfRule type="cellIs" dxfId="124" priority="132" operator="equal">
      <formula>"RG"</formula>
    </cfRule>
  </conditionalFormatting>
  <conditionalFormatting sqref="E102">
    <cfRule type="cellIs" dxfId="123" priority="125" operator="equal">
      <formula>"Select"</formula>
    </cfRule>
    <cfRule type="cellIs" dxfId="122" priority="126" operator="equal">
      <formula>"AK"</formula>
    </cfRule>
    <cfRule type="cellIs" dxfId="121" priority="127" operator="equal">
      <formula>"TW"</formula>
    </cfRule>
    <cfRule type="cellIs" dxfId="120" priority="128" operator="equal">
      <formula>"RG"</formula>
    </cfRule>
  </conditionalFormatting>
  <conditionalFormatting sqref="F102">
    <cfRule type="cellIs" dxfId="119" priority="121" operator="equal">
      <formula>"Select"</formula>
    </cfRule>
    <cfRule type="cellIs" dxfId="118" priority="122" operator="equal">
      <formula>"AK"</formula>
    </cfRule>
    <cfRule type="cellIs" dxfId="117" priority="123" operator="equal">
      <formula>"TW"</formula>
    </cfRule>
    <cfRule type="cellIs" dxfId="116" priority="124" operator="equal">
      <formula>"RG"</formula>
    </cfRule>
  </conditionalFormatting>
  <conditionalFormatting sqref="H102">
    <cfRule type="cellIs" dxfId="115" priority="117" operator="equal">
      <formula>"Select"</formula>
    </cfRule>
    <cfRule type="cellIs" dxfId="114" priority="118" operator="equal">
      <formula>"AK"</formula>
    </cfRule>
    <cfRule type="cellIs" dxfId="113" priority="119" operator="equal">
      <formula>"TW"</formula>
    </cfRule>
    <cfRule type="cellIs" dxfId="112" priority="120" operator="equal">
      <formula>"RG"</formula>
    </cfRule>
  </conditionalFormatting>
  <conditionalFormatting sqref="I102">
    <cfRule type="cellIs" dxfId="111" priority="113" operator="equal">
      <formula>"Select"</formula>
    </cfRule>
    <cfRule type="cellIs" dxfId="110" priority="114" operator="equal">
      <formula>"AK"</formula>
    </cfRule>
    <cfRule type="cellIs" dxfId="109" priority="115" operator="equal">
      <formula>"TW"</formula>
    </cfRule>
    <cfRule type="cellIs" dxfId="108" priority="116" operator="equal">
      <formula>"RG"</formula>
    </cfRule>
  </conditionalFormatting>
  <conditionalFormatting sqref="K102">
    <cfRule type="cellIs" dxfId="107" priority="109" operator="equal">
      <formula>"Select"</formula>
    </cfRule>
    <cfRule type="cellIs" dxfId="106" priority="110" operator="equal">
      <formula>"AK"</formula>
    </cfRule>
    <cfRule type="cellIs" dxfId="105" priority="111" operator="equal">
      <formula>"TW"</formula>
    </cfRule>
    <cfRule type="cellIs" dxfId="104" priority="112" operator="equal">
      <formula>"RG"</formula>
    </cfRule>
  </conditionalFormatting>
  <conditionalFormatting sqref="L102">
    <cfRule type="cellIs" dxfId="103" priority="105" operator="equal">
      <formula>"Select"</formula>
    </cfRule>
    <cfRule type="cellIs" dxfId="102" priority="106" operator="equal">
      <formula>"AK"</formula>
    </cfRule>
    <cfRule type="cellIs" dxfId="101" priority="107" operator="equal">
      <formula>"TW"</formula>
    </cfRule>
    <cfRule type="cellIs" dxfId="100" priority="108" operator="equal">
      <formula>"RG"</formula>
    </cfRule>
  </conditionalFormatting>
  <conditionalFormatting sqref="N102">
    <cfRule type="cellIs" dxfId="99" priority="101" operator="equal">
      <formula>"Select"</formula>
    </cfRule>
    <cfRule type="cellIs" dxfId="98" priority="102" operator="equal">
      <formula>"AK"</formula>
    </cfRule>
    <cfRule type="cellIs" dxfId="97" priority="103" operator="equal">
      <formula>"TW"</formula>
    </cfRule>
    <cfRule type="cellIs" dxfId="96" priority="104" operator="equal">
      <formula>"RG"</formula>
    </cfRule>
  </conditionalFormatting>
  <conditionalFormatting sqref="O102">
    <cfRule type="cellIs" dxfId="95" priority="97" operator="equal">
      <formula>"Select"</formula>
    </cfRule>
    <cfRule type="cellIs" dxfId="94" priority="98" operator="equal">
      <formula>"AK"</formula>
    </cfRule>
    <cfRule type="cellIs" dxfId="93" priority="99" operator="equal">
      <formula>"TW"</formula>
    </cfRule>
    <cfRule type="cellIs" dxfId="92" priority="100" operator="equal">
      <formula>"RG"</formula>
    </cfRule>
  </conditionalFormatting>
  <conditionalFormatting sqref="F75">
    <cfRule type="cellIs" dxfId="91" priority="93" operator="equal">
      <formula>"Select"</formula>
    </cfRule>
    <cfRule type="cellIs" dxfId="90" priority="94" operator="equal">
      <formula>"AK"</formula>
    </cfRule>
    <cfRule type="cellIs" dxfId="89" priority="95" operator="equal">
      <formula>"TW"</formula>
    </cfRule>
    <cfRule type="cellIs" dxfId="88" priority="96" operator="equal">
      <formula>"RG"</formula>
    </cfRule>
  </conditionalFormatting>
  <conditionalFormatting sqref="E75">
    <cfRule type="cellIs" dxfId="87" priority="89" operator="equal">
      <formula>"Select"</formula>
    </cfRule>
    <cfRule type="cellIs" dxfId="86" priority="90" operator="equal">
      <formula>"AK"</formula>
    </cfRule>
    <cfRule type="cellIs" dxfId="85" priority="91" operator="equal">
      <formula>"TW"</formula>
    </cfRule>
    <cfRule type="cellIs" dxfId="84" priority="92" operator="equal">
      <formula>"RG"</formula>
    </cfRule>
  </conditionalFormatting>
  <conditionalFormatting sqref="I75">
    <cfRule type="cellIs" dxfId="83" priority="85" operator="equal">
      <formula>"Select"</formula>
    </cfRule>
    <cfRule type="cellIs" dxfId="82" priority="86" operator="equal">
      <formula>"AK"</formula>
    </cfRule>
    <cfRule type="cellIs" dxfId="81" priority="87" operator="equal">
      <formula>"TW"</formula>
    </cfRule>
    <cfRule type="cellIs" dxfId="80" priority="88" operator="equal">
      <formula>"RG"</formula>
    </cfRule>
  </conditionalFormatting>
  <conditionalFormatting sqref="H75">
    <cfRule type="cellIs" dxfId="79" priority="81" operator="equal">
      <formula>"Select"</formula>
    </cfRule>
    <cfRule type="cellIs" dxfId="78" priority="82" operator="equal">
      <formula>"AK"</formula>
    </cfRule>
    <cfRule type="cellIs" dxfId="77" priority="83" operator="equal">
      <formula>"TW"</formula>
    </cfRule>
    <cfRule type="cellIs" dxfId="76" priority="84" operator="equal">
      <formula>"RG"</formula>
    </cfRule>
  </conditionalFormatting>
  <conditionalFormatting sqref="K75">
    <cfRule type="cellIs" dxfId="75" priority="77" operator="equal">
      <formula>"Select"</formula>
    </cfRule>
    <cfRule type="cellIs" dxfId="74" priority="78" operator="equal">
      <formula>"AK"</formula>
    </cfRule>
    <cfRule type="cellIs" dxfId="73" priority="79" operator="equal">
      <formula>"TW"</formula>
    </cfRule>
    <cfRule type="cellIs" dxfId="72" priority="80" operator="equal">
      <formula>"RG"</formula>
    </cfRule>
  </conditionalFormatting>
  <conditionalFormatting sqref="J75">
    <cfRule type="cellIs" dxfId="71" priority="73" operator="equal">
      <formula>"Select"</formula>
    </cfRule>
    <cfRule type="cellIs" dxfId="70" priority="74" operator="equal">
      <formula>"AK"</formula>
    </cfRule>
    <cfRule type="cellIs" dxfId="69" priority="75" operator="equal">
      <formula>"TW"</formula>
    </cfRule>
    <cfRule type="cellIs" dxfId="68" priority="76" operator="equal">
      <formula>"RG"</formula>
    </cfRule>
  </conditionalFormatting>
  <conditionalFormatting sqref="M75">
    <cfRule type="cellIs" dxfId="67" priority="69" operator="equal">
      <formula>"Select"</formula>
    </cfRule>
    <cfRule type="cellIs" dxfId="66" priority="70" operator="equal">
      <formula>"AK"</formula>
    </cfRule>
    <cfRule type="cellIs" dxfId="65" priority="71" operator="equal">
      <formula>"TW"</formula>
    </cfRule>
    <cfRule type="cellIs" dxfId="64" priority="72" operator="equal">
      <formula>"RG"</formula>
    </cfRule>
  </conditionalFormatting>
  <conditionalFormatting sqref="L75">
    <cfRule type="cellIs" dxfId="63" priority="65" operator="equal">
      <formula>"Select"</formula>
    </cfRule>
    <cfRule type="cellIs" dxfId="62" priority="66" operator="equal">
      <formula>"AK"</formula>
    </cfRule>
    <cfRule type="cellIs" dxfId="61" priority="67" operator="equal">
      <formula>"TW"</formula>
    </cfRule>
    <cfRule type="cellIs" dxfId="60" priority="68" operator="equal">
      <formula>"RG"</formula>
    </cfRule>
  </conditionalFormatting>
  <conditionalFormatting sqref="N75">
    <cfRule type="cellIs" dxfId="59" priority="57" operator="equal">
      <formula>"Select"</formula>
    </cfRule>
    <cfRule type="cellIs" dxfId="58" priority="58" operator="equal">
      <formula>"AK"</formula>
    </cfRule>
    <cfRule type="cellIs" dxfId="57" priority="59" operator="equal">
      <formula>"TW"</formula>
    </cfRule>
    <cfRule type="cellIs" dxfId="56" priority="60" operator="equal">
      <formula>"RG"</formula>
    </cfRule>
  </conditionalFormatting>
  <conditionalFormatting sqref="P75">
    <cfRule type="cellIs" dxfId="55" priority="53" operator="equal">
      <formula>"Select"</formula>
    </cfRule>
    <cfRule type="cellIs" dxfId="54" priority="54" operator="equal">
      <formula>"AK"</formula>
    </cfRule>
    <cfRule type="cellIs" dxfId="53" priority="55" operator="equal">
      <formula>"TW"</formula>
    </cfRule>
    <cfRule type="cellIs" dxfId="52" priority="56" operator="equal">
      <formula>"RG"</formula>
    </cfRule>
  </conditionalFormatting>
  <conditionalFormatting sqref="O75">
    <cfRule type="cellIs" dxfId="51" priority="49" operator="equal">
      <formula>"Select"</formula>
    </cfRule>
    <cfRule type="cellIs" dxfId="50" priority="50" operator="equal">
      <formula>"AK"</formula>
    </cfRule>
    <cfRule type="cellIs" dxfId="49" priority="51" operator="equal">
      <formula>"TW"</formula>
    </cfRule>
    <cfRule type="cellIs" dxfId="48" priority="52" operator="equal">
      <formula>"RG"</formula>
    </cfRule>
  </conditionalFormatting>
  <conditionalFormatting sqref="F70:F74">
    <cfRule type="cellIs" dxfId="47" priority="45" operator="equal">
      <formula>"Select"</formula>
    </cfRule>
    <cfRule type="cellIs" dxfId="46" priority="46" operator="equal">
      <formula>"AK"</formula>
    </cfRule>
    <cfRule type="cellIs" dxfId="45" priority="47" operator="equal">
      <formula>"TW"</formula>
    </cfRule>
    <cfRule type="cellIs" dxfId="44" priority="48" operator="equal">
      <formula>"RG"</formula>
    </cfRule>
  </conditionalFormatting>
  <conditionalFormatting sqref="E70:E74">
    <cfRule type="cellIs" dxfId="43" priority="41" operator="equal">
      <formula>"Select"</formula>
    </cfRule>
    <cfRule type="cellIs" dxfId="42" priority="42" operator="equal">
      <formula>"AK"</formula>
    </cfRule>
    <cfRule type="cellIs" dxfId="41" priority="43" operator="equal">
      <formula>"TW"</formula>
    </cfRule>
    <cfRule type="cellIs" dxfId="40" priority="44" operator="equal">
      <formula>"RG"</formula>
    </cfRule>
  </conditionalFormatting>
  <conditionalFormatting sqref="G70:G74">
    <cfRule type="cellIs" dxfId="39" priority="37" operator="equal">
      <formula>"Select"</formula>
    </cfRule>
    <cfRule type="cellIs" dxfId="38" priority="38" operator="equal">
      <formula>"AK"</formula>
    </cfRule>
    <cfRule type="cellIs" dxfId="37" priority="39" operator="equal">
      <formula>"TW"</formula>
    </cfRule>
    <cfRule type="cellIs" dxfId="36" priority="40" operator="equal">
      <formula>"RG"</formula>
    </cfRule>
  </conditionalFormatting>
  <conditionalFormatting sqref="I70:I74">
    <cfRule type="cellIs" dxfId="35" priority="33" operator="equal">
      <formula>"Select"</formula>
    </cfRule>
    <cfRule type="cellIs" dxfId="34" priority="34" operator="equal">
      <formula>"AK"</formula>
    </cfRule>
    <cfRule type="cellIs" dxfId="33" priority="35" operator="equal">
      <formula>"TW"</formula>
    </cfRule>
    <cfRule type="cellIs" dxfId="32" priority="36" operator="equal">
      <formula>"RG"</formula>
    </cfRule>
  </conditionalFormatting>
  <conditionalFormatting sqref="H70:H74">
    <cfRule type="cellIs" dxfId="31" priority="29" operator="equal">
      <formula>"Select"</formula>
    </cfRule>
    <cfRule type="cellIs" dxfId="30" priority="30" operator="equal">
      <formula>"AK"</formula>
    </cfRule>
    <cfRule type="cellIs" dxfId="29" priority="31" operator="equal">
      <formula>"TW"</formula>
    </cfRule>
    <cfRule type="cellIs" dxfId="28" priority="32" operator="equal">
      <formula>"RG"</formula>
    </cfRule>
  </conditionalFormatting>
  <conditionalFormatting sqref="J70:J74">
    <cfRule type="cellIs" dxfId="27" priority="25" operator="equal">
      <formula>"Select"</formula>
    </cfRule>
    <cfRule type="cellIs" dxfId="26" priority="26" operator="equal">
      <formula>"AK"</formula>
    </cfRule>
    <cfRule type="cellIs" dxfId="25" priority="27" operator="equal">
      <formula>"TW"</formula>
    </cfRule>
    <cfRule type="cellIs" dxfId="24" priority="28" operator="equal">
      <formula>"RG"</formula>
    </cfRule>
  </conditionalFormatting>
  <conditionalFormatting sqref="K70:K74">
    <cfRule type="cellIs" dxfId="23" priority="21" operator="equal">
      <formula>"Select"</formula>
    </cfRule>
    <cfRule type="cellIs" dxfId="22" priority="22" operator="equal">
      <formula>"AK"</formula>
    </cfRule>
    <cfRule type="cellIs" dxfId="21" priority="23" operator="equal">
      <formula>"TW"</formula>
    </cfRule>
    <cfRule type="cellIs" dxfId="20" priority="24" operator="equal">
      <formula>"RG"</formula>
    </cfRule>
  </conditionalFormatting>
  <conditionalFormatting sqref="M70">
    <cfRule type="cellIs" dxfId="19" priority="17" operator="equal">
      <formula>"Select"</formula>
    </cfRule>
    <cfRule type="cellIs" dxfId="18" priority="18" operator="equal">
      <formula>"AK"</formula>
    </cfRule>
    <cfRule type="cellIs" dxfId="17" priority="19" operator="equal">
      <formula>"TW"</formula>
    </cfRule>
    <cfRule type="cellIs" dxfId="16" priority="20" operator="equal">
      <formula>"RG"</formula>
    </cfRule>
  </conditionalFormatting>
  <conditionalFormatting sqref="N70:N74">
    <cfRule type="cellIs" dxfId="15" priority="13" operator="equal">
      <formula>"Select"</formula>
    </cfRule>
    <cfRule type="cellIs" dxfId="14" priority="14" operator="equal">
      <formula>"AK"</formula>
    </cfRule>
    <cfRule type="cellIs" dxfId="13" priority="15" operator="equal">
      <formula>"TW"</formula>
    </cfRule>
    <cfRule type="cellIs" dxfId="12" priority="16" operator="equal">
      <formula>"RG"</formula>
    </cfRule>
  </conditionalFormatting>
  <conditionalFormatting sqref="O70:O74">
    <cfRule type="cellIs" dxfId="11" priority="9" operator="equal">
      <formula>"Select"</formula>
    </cfRule>
    <cfRule type="cellIs" dxfId="10" priority="10" operator="equal">
      <formula>"AK"</formula>
    </cfRule>
    <cfRule type="cellIs" dxfId="9" priority="11" operator="equal">
      <formula>"TW"</formula>
    </cfRule>
    <cfRule type="cellIs" dxfId="8" priority="12" operator="equal">
      <formula>"RG"</formula>
    </cfRule>
  </conditionalFormatting>
  <conditionalFormatting sqref="P70:P74">
    <cfRule type="cellIs" dxfId="7" priority="5" operator="equal">
      <formula>"Select"</formula>
    </cfRule>
    <cfRule type="cellIs" dxfId="6" priority="6" operator="equal">
      <formula>"AK"</formula>
    </cfRule>
    <cfRule type="cellIs" dxfId="5" priority="7" operator="equal">
      <formula>"TW"</formula>
    </cfRule>
    <cfRule type="cellIs" dxfId="4" priority="8" operator="equal">
      <formula>"RG"</formula>
    </cfRule>
  </conditionalFormatting>
  <conditionalFormatting sqref="L71:L74">
    <cfRule type="cellIs" dxfId="3" priority="1" operator="equal">
      <formula>"Select"</formula>
    </cfRule>
    <cfRule type="cellIs" dxfId="2" priority="2" operator="equal">
      <formula>"AK"</formula>
    </cfRule>
    <cfRule type="cellIs" dxfId="1" priority="3" operator="equal">
      <formula>"TW"</formula>
    </cfRule>
    <cfRule type="cellIs" dxfId="0" priority="4" operator="equal">
      <formula>"RG"</formula>
    </cfRule>
  </conditionalFormatting>
  <dataValidations count="1">
    <dataValidation type="list" allowBlank="1" showInputMessage="1" prompt="Select..." sqref="E38:P38 E107:P107 E25:K26 E97:P99 E56:I59 E29:P31 J19:P19 E53:P53 H32:I32 L40 F130:P130 M128:P129 G60 I45:I47 L81:L84 N65:P67 K88:K89 H44:I44 F5:F15 M81:M82 L25:N25 O20:P25 E20:N24 E79:I82 N79:P82 J79:M80 J81:K82 E19:H19 J84 P84 M27 K32:O32 E62:P63 E32:F32 E36:P36 M126:P126 E126:K126 E128:K129 M26:P26 E100:J100 L100:P100 E92:P94 K44:P44 E68:G68 I68:P68 E70:K74 J55:J59 K56:P59 I42:K43 O40:O43 E65:L67 E102:F102 H102:I102 K102:L102 N102:O102 E75:F75 H75:P75 K69 M70:P70 N71:P74 L71:L74" xr:uid="{467C6C58-4B3D-489C-A0CC-6A114272E293}">
      <formula1>TaskOwner</formula1>
    </dataValidation>
  </dataValidations>
  <hyperlinks>
    <hyperlink ref="B19" location="RC-1!A1" display="RC-1" xr:uid="{0122A646-B541-468C-BEC5-05695EEBE5D1}"/>
    <hyperlink ref="B20" location="RC-2!A1" display="RC-2" xr:uid="{064BE3F8-B597-4A24-AD5E-E8F65B12A251}"/>
    <hyperlink ref="B22" location="RC-3!A1" display="RC-3" xr:uid="{260C77EE-F895-41BB-B018-5A113BD4FBA6}"/>
    <hyperlink ref="B23" location="RC-4!A1" display="RC-4" xr:uid="{B9FACE8D-90CD-43BD-B08F-D36646214C34}"/>
    <hyperlink ref="B25" location="RC-5!A1" display="RC-5" xr:uid="{2930170F-2679-45BA-BA88-242E17BD26B3}"/>
    <hyperlink ref="B26" location="RC-6!A1" display="RC-6" xr:uid="{F090DEED-A783-4F4E-82FF-DB869169B44F}"/>
    <hyperlink ref="B27" location="RC-7!A1" display="RC-7" xr:uid="{44347228-6870-4EB6-B821-B2EB2B21B10C}"/>
    <hyperlink ref="B29" location="RC-8A!A1" display="RC-8A" xr:uid="{E39926F3-4A69-422F-B4BD-663436698B92}"/>
    <hyperlink ref="B30" location="RC-8B!A1" display="RC-8B" xr:uid="{4ED493DA-A0D4-4433-887E-EA0B1162B2B7}"/>
    <hyperlink ref="B31" location="RC-9!A1" display="RC-9" xr:uid="{9B5FDA31-B00D-4AD8-817A-24008674F387}"/>
    <hyperlink ref="B34" location="RC-11!A1" display="RC-11" xr:uid="{2FF825B2-6D13-4010-B5D3-654C3FEFAE1E}"/>
    <hyperlink ref="B35" location="RC-12!A1" display="RC-12" xr:uid="{0F50BD98-8BA6-479A-B034-502BFEBF1DAD}"/>
    <hyperlink ref="B36" location="RC-12B!A1" display="RC-12B" xr:uid="{68249D99-F9BF-4E85-91CB-B62A1BCEDA52}"/>
    <hyperlink ref="B37" location="RC-13!A1" display="RC-13" xr:uid="{3B50833B-42C6-4D58-83B7-2173AC074462}"/>
    <hyperlink ref="B38" location="RC-13B!A1" display="RC-13B" xr:uid="{EA3E7E36-78F9-4EDE-912A-E003035B3C1C}"/>
    <hyperlink ref="B39" location="RC-14!A1" display="RC-14" xr:uid="{DD201928-D4B0-4BA6-A31C-14B074493E04}"/>
    <hyperlink ref="B40" location="RC-15!A1" display="RC-15" xr:uid="{424874A2-A145-4098-BDDA-EF1B628D7D87}"/>
    <hyperlink ref="B41" location="RC-16A!A1" display="RC-16A" xr:uid="{96B96FBD-5323-4D57-9E8B-307BFF0BDC90}"/>
    <hyperlink ref="B42" location="RC-16B!A1" display="RC-16B" xr:uid="{4B820C2C-FFC2-4EE3-8B65-18F93C3259D9}"/>
    <hyperlink ref="B43" location="RC-16C!A1" display="RC-16C" xr:uid="{91A8D070-7BA6-4A85-8F79-11B8DED8E33E}"/>
    <hyperlink ref="B44" location="RC-16D!A1" display="RC-16D" xr:uid="{E1E85A58-33D4-4F9B-A87A-F742D7F3132A}"/>
    <hyperlink ref="B46" location="RC-17!A1" display="RC-17" xr:uid="{29ECCCA6-6487-4D14-BCA4-67DA5725C17A}"/>
    <hyperlink ref="B48" location="RC-25!A1" display="RC-25" xr:uid="{673FB308-93B5-482F-8D9E-CDA636D4530E}"/>
    <hyperlink ref="B50" location="RC-18!A1" display="RC-18" xr:uid="{1F267EBD-DC14-4B9F-B7A9-720FDF5539D7}"/>
    <hyperlink ref="B51" location="RC-19!A1" display="RC-19" xr:uid="{243414DC-2A20-4176-9A51-F1A03EC6BE4B}"/>
    <hyperlink ref="B52" location="RC-44!A1" display="RC-44" xr:uid="{03EE3F9E-B2F1-4EBC-B00C-5540D89452A6}"/>
    <hyperlink ref="B53" location="RC-20!A1" display="RC-20" xr:uid="{7B2D5C85-51CE-4A21-9386-B50630B9F376}"/>
    <hyperlink ref="B55" location="RC-21!A1" display="RC-21" xr:uid="{FD695E29-EF7B-4EB2-85CD-29DA133FAA0D}"/>
    <hyperlink ref="B56" location="RC-22!A1" display="RC-22" xr:uid="{B840C08B-2AC8-4558-8193-D35B0ACA9061}"/>
    <hyperlink ref="B58" location="RC-23!A1" display="RC-23" xr:uid="{7CF849F6-AEAE-4AB2-86A7-82860270CDF6}"/>
    <hyperlink ref="B60" location="RC-24!A1" display="RC-24" xr:uid="{A02B11BA-820F-4076-A5C8-6A7F3AC6D513}"/>
    <hyperlink ref="B61" location="RC-26!A1" display="RC-26" xr:uid="{384884E0-7100-414A-B989-274A4FD89C65}"/>
    <hyperlink ref="B62" location="RC-66!A1" display="RC-66" xr:uid="{DFA2BF33-B284-4712-B41D-A896457C9599}"/>
    <hyperlink ref="B65" location="RC-27!A1" display="RC-27" xr:uid="{AA8BB78E-E9C9-4A3A-92E6-C720D230355F}"/>
    <hyperlink ref="B66" location="RC-28!A1" display="RC-28" xr:uid="{8832F1D5-F198-48A1-825D-8CC38D66CE75}"/>
    <hyperlink ref="B67" location="RC-29!A1" display="RC-29" xr:uid="{E880672E-DA32-48EA-81C7-AB08F9A165B9}"/>
    <hyperlink ref="B68" location="RC-30A!A1" display="RC-30" xr:uid="{7FC6E027-8473-4568-91F2-30D21303EDB5}"/>
    <hyperlink ref="B69" location="RC-30B!A1" display="RC-30B" xr:uid="{C747373E-16FD-4353-929F-0179784D4801}"/>
    <hyperlink ref="B70" location="RC-30C!A1" display="RC-30C" xr:uid="{35A6738C-C297-4493-B064-9F776CC718B4}"/>
    <hyperlink ref="B71" location="RC-31!A1" display="RC-31" xr:uid="{B557E74D-FC39-4A93-A203-821EDFB84E0C}"/>
    <hyperlink ref="B72" location="RC-32!A1" display="RC-32" xr:uid="{7201C8CD-593D-4500-A728-B25320494E02}"/>
    <hyperlink ref="B73" location="RC-33!A1" display="RC-33" xr:uid="{2AD8D42A-32A5-4E12-88AB-ADCB7D1DBAB8}"/>
    <hyperlink ref="B74" location="RC-34!A1" display="RC-34" xr:uid="{B722AAED-86CA-42BF-A61F-13531A3AF726}"/>
    <hyperlink ref="B77" location="RC-36!A1" display="RC-36" xr:uid="{AEA4D6C0-4410-49FD-86F8-5CD967295B92}"/>
    <hyperlink ref="B78" location="null!A1" display="RC-38" xr:uid="{3D375C13-C4BC-43FC-9937-DF7A732B2153}"/>
    <hyperlink ref="B79" location="RC-39!A1" display="RC-39" xr:uid="{77344638-3FA0-478F-A958-EF52C3C38821}"/>
    <hyperlink ref="B81" location="RC-40B!A1" display="RC-40" xr:uid="{58066EA5-CA05-4A82-9ED3-DF649629C69B}"/>
    <hyperlink ref="B83" location="RC-70!A1" display="RC-70" xr:uid="{F647AC53-04B1-4EDB-946C-1882BAB62DD7}"/>
    <hyperlink ref="B86" location="RC-45!A1" display="RC-45" xr:uid="{FC859925-9198-43B7-93E0-1CA6DA9C70BF}"/>
    <hyperlink ref="B87" location="RC-48!A1" display="RC-48" xr:uid="{A172643A-0ACA-48B1-8825-1ADF40A948F8}"/>
    <hyperlink ref="B88" location="RC-49A!A1" display="RC-49A" xr:uid="{A6234A8A-2A2F-434E-9124-1DAF7B163CB4}"/>
    <hyperlink ref="B89" location="RC-49B!A1" display="RC-49B" xr:uid="{104CAA38-E2DD-4287-AA30-9F51C1290922}"/>
    <hyperlink ref="B91" location="RC-41!A1" display="RC-41" xr:uid="{1243ABFE-66F9-42B6-927F-374863A2DD0C}"/>
    <hyperlink ref="B92" location="RC-42A!A1" display="RC-42A" xr:uid="{6106A8F2-25E1-40D5-A330-2B9163F7F271}"/>
    <hyperlink ref="B93" location="RC-42B!A1" display="RC-42B" xr:uid="{6CE2E11A-D050-4AFB-85D5-494FE83A924E}"/>
    <hyperlink ref="B94" location="RC-42C!A1" display="RC-42C" xr:uid="{F042C44A-90EF-4EF6-B7A5-E842DB592353}"/>
    <hyperlink ref="B95" location="RC-43!A1" display="RC-43" xr:uid="{1F588BD2-DFAA-43FF-9469-9D7960D5D451}"/>
    <hyperlink ref="B96" location="RC-47!A1" display="RC-47" xr:uid="{A5469385-A687-40EE-8396-06FF773F4152}"/>
    <hyperlink ref="B97" location="RC-50A!A1" display="RC-50" xr:uid="{BF030D96-6E08-40F6-8526-CA56237F9FC8}"/>
    <hyperlink ref="B100" location="RC-51!A1" display="RC-51" xr:uid="{87850B6C-1453-40D4-8FBE-3B14DED02870}"/>
    <hyperlink ref="B102" location="RC-52!A1" display="RC-52" xr:uid="{BD8A61CF-5DEC-456B-A8B0-F8BF1A692FF0}"/>
    <hyperlink ref="B103" location="RC-53!A1" display="RC-53" xr:uid="{DE642880-A280-44BD-9142-60E4324F1A7C}"/>
    <hyperlink ref="B104" location="RC-54!A1" display="RC-54" xr:uid="{25195B69-478B-4A21-B35D-63D4B3FBA831}"/>
    <hyperlink ref="B105" location="RC-64!A1" display="RC-64" xr:uid="{4308346D-050D-45A5-8D1A-1C4DAB6EB677}"/>
    <hyperlink ref="B106" location="RC-67!A1" display="RC-67" xr:uid="{D32DAA04-812C-4011-A1BD-C3C05113EB34}"/>
    <hyperlink ref="B107" location="RC-68!A1" display="RC-68" xr:uid="{CE374DEC-43F1-4B3C-AB95-9854551F68FD}"/>
    <hyperlink ref="B108" location="RC-69!A1" display="RC-69" xr:uid="{382CA520-A112-4AA0-8DF1-AF57BC9C23CC}"/>
    <hyperlink ref="B109" location="RC-74!A1" display="RC-74" xr:uid="{F9CBB1F2-C08F-4192-8087-B4161E9F8E60}"/>
    <hyperlink ref="B82" location="RC-40B!A1" display="RC-40" xr:uid="{E521B722-6821-407D-A0FC-6A0408CD579B}"/>
    <hyperlink ref="B98" location="RC-50A!A1" display="RC-50" xr:uid="{E91807EE-5CCF-4D61-96E1-2276EEDD7C8B}"/>
    <hyperlink ref="B99" location="RC-50A!A1" display="RC-50" xr:uid="{771014B8-AA0D-4DDD-AAC2-BA39197646CA}"/>
    <hyperlink ref="B111" location="RC-74!A1" display="RC-74" xr:uid="{B8B7CD50-F0D2-46EC-A2CB-05E50E7E905A}"/>
  </hyperlinks>
  <printOptions horizontalCentered="1"/>
  <pageMargins left="0.27559055118110237" right="0.19685039370078741" top="0.47244094488188981" bottom="0.59055118110236227" header="0" footer="0"/>
  <pageSetup scale="74" fitToHeight="0" orientation="landscape" r:id="rId1"/>
  <headerFooter>
    <oddHeader>&amp;LThe Great Canadian Meat Company&amp;CRC-88&amp;R&amp;A</oddHeader>
    <oddFooter>&amp;L&amp;"-,Italic"Prepared by Food Technology Consulting 
  Approved by: MU&amp;CPage  &amp;P&amp;R&amp;"-,Italic"Rev. Date: Aug 21,2026
 Rev. # 04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7E162-179C-4101-8861-253493594127}">
  <dimension ref="A1:C22"/>
  <sheetViews>
    <sheetView workbookViewId="0">
      <selection activeCell="E14" sqref="E14"/>
    </sheetView>
  </sheetViews>
  <sheetFormatPr defaultRowHeight="14.45"/>
  <cols>
    <col min="1" max="1" width="18.85546875" customWidth="1"/>
    <col min="2" max="2" width="18.5703125" customWidth="1"/>
  </cols>
  <sheetData>
    <row r="1" spans="1:3">
      <c r="A1" t="s">
        <v>37</v>
      </c>
    </row>
    <row r="2" spans="1:3">
      <c r="A2" t="s">
        <v>311</v>
      </c>
      <c r="B2" t="s">
        <v>312</v>
      </c>
    </row>
    <row r="3" spans="1:3">
      <c r="A3" t="s">
        <v>8</v>
      </c>
      <c r="B3" t="s">
        <v>313</v>
      </c>
      <c r="C3" s="58">
        <v>46030</v>
      </c>
    </row>
    <row r="4" spans="1:3">
      <c r="B4" t="s">
        <v>314</v>
      </c>
      <c r="C4" s="58">
        <v>46031</v>
      </c>
    </row>
    <row r="5" spans="1:3">
      <c r="B5" t="s">
        <v>315</v>
      </c>
      <c r="C5" s="58">
        <v>46048</v>
      </c>
    </row>
    <row r="6" spans="1:3">
      <c r="B6" t="s">
        <v>314</v>
      </c>
      <c r="C6" s="58">
        <v>46049</v>
      </c>
    </row>
    <row r="8" spans="1:3">
      <c r="A8" t="s">
        <v>9</v>
      </c>
      <c r="B8" t="s">
        <v>316</v>
      </c>
      <c r="C8" s="58">
        <v>46057</v>
      </c>
    </row>
    <row r="9" spans="1:3">
      <c r="B9" t="s">
        <v>313</v>
      </c>
      <c r="C9" s="58">
        <v>46058</v>
      </c>
    </row>
    <row r="10" spans="1:3">
      <c r="B10" t="s">
        <v>313</v>
      </c>
      <c r="C10" s="58">
        <v>46065</v>
      </c>
    </row>
    <row r="11" spans="1:3">
      <c r="B11" t="s">
        <v>313</v>
      </c>
      <c r="C11" s="58">
        <v>46066</v>
      </c>
    </row>
    <row r="12" spans="1:3">
      <c r="B12" t="s">
        <v>317</v>
      </c>
      <c r="C12" s="58">
        <v>46072</v>
      </c>
    </row>
    <row r="13" spans="1:3">
      <c r="B13" t="s">
        <v>317</v>
      </c>
      <c r="C13" s="58">
        <v>46077</v>
      </c>
    </row>
    <row r="15" spans="1:3">
      <c r="A15" t="s">
        <v>318</v>
      </c>
      <c r="B15" t="s">
        <v>313</v>
      </c>
      <c r="C15" s="58">
        <v>46097</v>
      </c>
    </row>
    <row r="16" spans="1:3">
      <c r="B16" t="s">
        <v>316</v>
      </c>
      <c r="C16" s="58">
        <v>46097</v>
      </c>
    </row>
    <row r="17" spans="2:3">
      <c r="B17" t="s">
        <v>314</v>
      </c>
      <c r="C17" s="58">
        <v>46097</v>
      </c>
    </row>
    <row r="18" spans="2:3">
      <c r="B18" t="s">
        <v>319</v>
      </c>
      <c r="C18" s="58">
        <v>46097</v>
      </c>
    </row>
    <row r="19" spans="2:3">
      <c r="B19" t="s">
        <v>320</v>
      </c>
      <c r="C19" s="58">
        <v>46097</v>
      </c>
    </row>
    <row r="20" spans="2:3">
      <c r="B20" t="s">
        <v>316</v>
      </c>
      <c r="C20" s="58">
        <v>46098</v>
      </c>
    </row>
    <row r="21" spans="2:3">
      <c r="B21" t="s">
        <v>317</v>
      </c>
      <c r="C21" s="58">
        <v>46098</v>
      </c>
    </row>
    <row r="22" spans="2:3">
      <c r="B22" t="s">
        <v>314</v>
      </c>
      <c r="C22" s="58">
        <v>46098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a994605-9755-46f2-a658-969a735574b9">
      <Terms xmlns="http://schemas.microsoft.com/office/infopath/2007/PartnerControls"/>
    </lcf76f155ced4ddcb4097134ff3c332f>
    <TaxCatchAll xmlns="f1c68eb9-a787-4019-b79d-83a270c39ad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C8C65E326428449080B306B9FCE6A1" ma:contentTypeVersion="15" ma:contentTypeDescription="Create a new document." ma:contentTypeScope="" ma:versionID="72e76ba3023d3cc48df8a1499367a42d">
  <xsd:schema xmlns:xsd="http://www.w3.org/2001/XMLSchema" xmlns:xs="http://www.w3.org/2001/XMLSchema" xmlns:p="http://schemas.microsoft.com/office/2006/metadata/properties" xmlns:ns2="fa994605-9755-46f2-a658-969a735574b9" xmlns:ns3="f1c68eb9-a787-4019-b79d-83a270c39add" targetNamespace="http://schemas.microsoft.com/office/2006/metadata/properties" ma:root="true" ma:fieldsID="53566002c113514adbec0f94cdca6ea9" ns2:_="" ns3:_="">
    <xsd:import namespace="fa994605-9755-46f2-a658-969a735574b9"/>
    <xsd:import namespace="f1c68eb9-a787-4019-b79d-83a270c39ad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DateTaken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994605-9755-46f2-a658-969a735574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fca9b51-63b2-440b-a3b4-8d0d62ed251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c68eb9-a787-4019-b79d-83a270c39ad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daaf2da0-c72e-4ade-b394-dfe4a7c6c028}" ma:internalName="TaxCatchAll" ma:showField="CatchAllData" ma:web="f1c68eb9-a787-4019-b79d-83a270c39a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27FB772-13B9-460B-913C-74D60F5357D1}"/>
</file>

<file path=customXml/itemProps2.xml><?xml version="1.0" encoding="utf-8"?>
<ds:datastoreItem xmlns:ds="http://schemas.openxmlformats.org/officeDocument/2006/customXml" ds:itemID="{EC991346-B91A-4E97-968C-2409F752727F}"/>
</file>

<file path=customXml/itemProps3.xml><?xml version="1.0" encoding="utf-8"?>
<ds:datastoreItem xmlns:ds="http://schemas.openxmlformats.org/officeDocument/2006/customXml" ds:itemID="{3C207CD2-0FC3-4A27-95B5-82483E10582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Quality Assurance</dc:creator>
  <cp:keywords/>
  <dc:description/>
  <cp:lastModifiedBy>Stephanie Kuzmych</cp:lastModifiedBy>
  <cp:revision/>
  <dcterms:created xsi:type="dcterms:W3CDTF">2025-01-29T19:36:04Z</dcterms:created>
  <dcterms:modified xsi:type="dcterms:W3CDTF">2026-09-16T03:47:33Z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0x010100AFC8C65E326428449080B306B9FCE6A1</vt:lpwstr>
  </property>
  <property fmtid="{D5CDD505-2E9C-101B-9397-08002B2CF9AE}" pid="3" name="MediaServiceImageTags">
    <vt:lpwstr/>
  </property>
</Properties>
</file>